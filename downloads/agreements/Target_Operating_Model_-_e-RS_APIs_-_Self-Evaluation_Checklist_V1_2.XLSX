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Default Extension="xlsx" ContentType="application/vnd.openxmlformats-officedocument.spreadsheetml.shee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 yWindow="1128" windowWidth="9012" windowHeight="1488" tabRatio="937"/>
  </bookViews>
  <sheets>
    <sheet name="Cover" sheetId="21" r:id="rId1"/>
    <sheet name="Introduction" sheetId="35" r:id="rId2"/>
    <sheet name="User Guide" sheetId="34" r:id="rId3"/>
    <sheet name="Approval Gateways" sheetId="23" r:id="rId4"/>
    <sheet name="1 - Contact Log" sheetId="8" r:id="rId5"/>
    <sheet name="2 - Supplier Information " sheetId="2" r:id="rId6"/>
    <sheet name="3 - End User Organisation " sheetId="29" r:id="rId7"/>
    <sheet name="4 - Topology" sheetId="17" r:id="rId8"/>
    <sheet name="5 - Architecture" sheetId="11" r:id="rId9"/>
    <sheet name="6 - IG and Security" sheetId="52" r:id="rId10"/>
    <sheet name="7 - Clinical Safety" sheetId="53" r:id="rId11"/>
    <sheet name="8 - Service " sheetId="31" r:id="rId12"/>
    <sheet name="9 - e-RS API Overarching reqs" sheetId="54" r:id="rId13"/>
    <sheet name="9.1 - NHS e-RS Session APIs " sheetId="49" r:id="rId14"/>
    <sheet name="9.2 - NHS e-RS Ref Data APIs" sheetId="50" r:id="rId15"/>
    <sheet name="9.3 - NHS e-RS CRI APIs" sheetId="51" r:id="rId16"/>
    <sheet name="NHS Digital Assessement" sheetId="32" r:id="rId17"/>
    <sheet name="Lists" sheetId="33"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xlnm._FilterDatabase" localSheetId="1" hidden="1">Introduction!#REF!</definedName>
    <definedName name="_ftn1" localSheetId="12">'9 - e-RS API Overarching reqs'!#REF!</definedName>
    <definedName name="_ftn1" localSheetId="13">'9.1 - NHS e-RS Session APIs '!#REF!</definedName>
    <definedName name="_ftn1" localSheetId="14">'9.2 - NHS e-RS Ref Data APIs'!#REF!</definedName>
    <definedName name="_ftn1" localSheetId="15">'9.3 - NHS e-RS CRI APIs'!#REF!</definedName>
    <definedName name="_ftnref1" localSheetId="12">'9 - e-RS API Overarching reqs'!$C$7</definedName>
    <definedName name="_ftnref1" localSheetId="13">'9.1 - NHS e-RS Session APIs '!$C$7</definedName>
    <definedName name="_ftnref1" localSheetId="14">'9.2 - NHS e-RS Ref Data APIs'!$C$7</definedName>
    <definedName name="_ftnref1" localSheetId="15">'9.3 - NHS e-RS CRI APIs'!$C$7</definedName>
    <definedName name="_Toc456344471" localSheetId="3">'Approval Gateways'!#REF!</definedName>
    <definedName name="_Toc456344472" localSheetId="3">'Approval Gateways'!#REF!</definedName>
    <definedName name="_Toc456344473" localSheetId="3">'Approval Gateways'!#REF!</definedName>
    <definedName name="AccessMethod" localSheetId="9">[1]Lists!$B$66:$B$73</definedName>
    <definedName name="AccessMethod" localSheetId="10">[2]Lists!$B$66:$B$73</definedName>
    <definedName name="AccessMethod" localSheetId="12">[3]Lists!$B$52:$B$59</definedName>
    <definedName name="AccessMethod" localSheetId="13">[3]Lists!$B$52:$B$59</definedName>
    <definedName name="AccessMethod" localSheetId="14">[3]Lists!$B$52:$B$59</definedName>
    <definedName name="AccessMethod" localSheetId="15">[3]Lists!$B$52:$B$59</definedName>
    <definedName name="AccessMethod" localSheetId="1">[4]Lists!$B$52:$B$59</definedName>
    <definedName name="AccessMethod" localSheetId="2">[4]Lists!$B$52:$B$59</definedName>
    <definedName name="AccessMethod">Lists!$B$66:$B$73</definedName>
    <definedName name="Approval" localSheetId="9">[1]Lists!$B$109:$B$110</definedName>
    <definedName name="Approval" localSheetId="10">[2]Lists!$B$109:$B$110</definedName>
    <definedName name="Approval" localSheetId="12">[3]Lists!$B$95:$B$96</definedName>
    <definedName name="Approval" localSheetId="13">[3]Lists!$B$95:$B$96</definedName>
    <definedName name="Approval" localSheetId="14">[3]Lists!$B$95:$B$96</definedName>
    <definedName name="Approval" localSheetId="15">[3]Lists!$B$95:$B$96</definedName>
    <definedName name="Approval">Lists!$B$109:$B$110</definedName>
    <definedName name="Assessment" localSheetId="9">#REF!</definedName>
    <definedName name="Assessment" localSheetId="10">#REF!</definedName>
    <definedName name="Assessment" localSheetId="12">[5]Lists!$B$82:$B$85</definedName>
    <definedName name="Assessment" localSheetId="13">[5]Lists!$B$82:$B$85</definedName>
    <definedName name="Assessment" localSheetId="14">[5]Lists!$B$82:$B$85</definedName>
    <definedName name="Assessment" localSheetId="15">[5]Lists!$B$82:$B$85</definedName>
    <definedName name="Assessment">[4]Lists!$B$82:$B$85</definedName>
    <definedName name="Bundles" localSheetId="9">[6]Lists!$E$2:$E$27</definedName>
    <definedName name="Bundles" localSheetId="10">[7]Lists!$E$2:$E$27</definedName>
    <definedName name="Bundles">[8]Lists!$E$2:$E$27</definedName>
    <definedName name="Change" localSheetId="9">[6]Lists!$G$2:$G$5</definedName>
    <definedName name="Change" localSheetId="10">[7]Lists!$G$2:$G$5</definedName>
    <definedName name="Change">[8]Lists!$G$2:$G$5</definedName>
    <definedName name="Compliance_Level" localSheetId="9">#REF!</definedName>
    <definedName name="Compliance_Level" localSheetId="10">#REF!</definedName>
    <definedName name="Compliance_Level" localSheetId="12">#REF!</definedName>
    <definedName name="Compliance_Level" localSheetId="14">#REF!</definedName>
    <definedName name="Compliance_Level" localSheetId="15">#REF!</definedName>
    <definedName name="Compliance_Level">#REF!</definedName>
    <definedName name="ComplianceLevel">[9]Data!$A$3:$A$6</definedName>
    <definedName name="CompliantStatus">[10]Data!$A$3:$A$6</definedName>
    <definedName name="DMS" localSheetId="9">[6]Lists!$K$2:$K$9</definedName>
    <definedName name="DMS" localSheetId="10">[7]Lists!$K$2:$K$9</definedName>
    <definedName name="DMS">[8]Lists!$K$2:$K$9</definedName>
    <definedName name="EndUserOrgType">Lists!$B$41:$B$50</definedName>
    <definedName name="IGSoCResult" localSheetId="9">[1]Lists!$B$83:$B$86</definedName>
    <definedName name="IGSoCResult" localSheetId="12">[3]Lists!$B$69:$B$72</definedName>
    <definedName name="IGSoCResult" localSheetId="13">[3]Lists!$B$69:$B$72</definedName>
    <definedName name="IGSoCResult" localSheetId="14">[3]Lists!$B$69:$B$72</definedName>
    <definedName name="IGSoCResult" localSheetId="15">[3]Lists!$B$69:$B$72</definedName>
    <definedName name="IGSoCResult" localSheetId="1">[4]Lists!$B$69:$B$72</definedName>
    <definedName name="IGSoCResult" localSheetId="2">[4]Lists!$B$69:$B$72</definedName>
    <definedName name="IGSoCResult">Lists!$B$83:$B$86</definedName>
    <definedName name="IGTResult" localSheetId="9">[1]Lists!$B$76:$B$80</definedName>
    <definedName name="IGTResult" localSheetId="10">[2]Lists!$B$76:$B$80</definedName>
    <definedName name="IGTResult" localSheetId="12">[3]Lists!$B$62:$B$66</definedName>
    <definedName name="IGTResult" localSheetId="13">[3]Lists!$B$62:$B$66</definedName>
    <definedName name="IGTResult" localSheetId="14">[3]Lists!$B$62:$B$66</definedName>
    <definedName name="IGTResult" localSheetId="15">[3]Lists!$B$62:$B$66</definedName>
    <definedName name="IGTResult" localSheetId="1">[4]Lists!$B$62:$B$66</definedName>
    <definedName name="IGTResult" localSheetId="2">[4]Lists!$B$62:$B$66</definedName>
    <definedName name="IGTResult">Lists!$B$76:$B$80</definedName>
    <definedName name="ITK_SMSP" localSheetId="9">#REF!</definedName>
    <definedName name="ITK_SMSP" localSheetId="10">#REF!</definedName>
    <definedName name="ITK_SMSP" localSheetId="12">#REF!</definedName>
    <definedName name="ITK_SMSP" localSheetId="14">#REF!</definedName>
    <definedName name="ITK_SMSP" localSheetId="15">#REF!</definedName>
    <definedName name="ITK_SMSP">#REF!</definedName>
    <definedName name="Jurisdiction" localSheetId="9">[1]Lists!$B$89:$B$92</definedName>
    <definedName name="Jurisdiction" localSheetId="10">[2]Lists!$B$89:$B$92</definedName>
    <definedName name="Jurisdiction" localSheetId="12">[3]Lists!$B$75:$B$78</definedName>
    <definedName name="Jurisdiction" localSheetId="13">[3]Lists!$B$75:$B$78</definedName>
    <definedName name="Jurisdiction" localSheetId="14">[3]Lists!$B$75:$B$78</definedName>
    <definedName name="Jurisdiction" localSheetId="15">[3]Lists!$B$75:$B$78</definedName>
    <definedName name="Jurisdiction" localSheetId="1">[4]Lists!$B$75:$B$79</definedName>
    <definedName name="Jurisdiction" localSheetId="2">[4]Lists!$B$75:$B$79</definedName>
    <definedName name="Jurisdiction">Lists!$B$89:$B$92</definedName>
    <definedName name="NHSorNot" localSheetId="9">[1]Lists!$B$53:$B$56</definedName>
    <definedName name="NHSorNot" localSheetId="10">[2]Lists!$B$53:$B$56</definedName>
    <definedName name="NHSorNot" localSheetId="12">[3]Lists!$B$39:$B$42</definedName>
    <definedName name="NHSorNot" localSheetId="13">[3]Lists!$B$39:$B$42</definedName>
    <definedName name="NHSorNot" localSheetId="14">[3]Lists!$B$39:$B$42</definedName>
    <definedName name="NHSorNot" localSheetId="15">[3]Lists!$B$39:$B$42</definedName>
    <definedName name="NHSorNot" localSheetId="1">[4]Lists!$B$39:$B$42</definedName>
    <definedName name="NHSorNot" localSheetId="2">[4]Lists!$B$39:$B$42</definedName>
    <definedName name="NHSorNot">Lists!$B$53:$B$56</definedName>
    <definedName name="OrgType" localSheetId="9">[1]Lists!$B$14:$B$37</definedName>
    <definedName name="OrgType" localSheetId="12">[3]Lists!$B$12:$B$24</definedName>
    <definedName name="OrgType" localSheetId="13">[3]Lists!$B$12:$B$24</definedName>
    <definedName name="OrgType" localSheetId="14">[3]Lists!$B$12:$B$24</definedName>
    <definedName name="OrgType" localSheetId="15">[3]Lists!$B$12:$B$24</definedName>
    <definedName name="OrgType" localSheetId="1">[4]Lists!$B$12:$B$24</definedName>
    <definedName name="OrgType" localSheetId="2">[4]Lists!$B$12:$B$24</definedName>
    <definedName name="OrgType">Lists!#REF!</definedName>
    <definedName name="Programmes">[11]Data!$B$3:$B$25</definedName>
    <definedName name="RAG">Lists!$B$6:$B$11</definedName>
    <definedName name="Select" localSheetId="6">'3 - End User Organisation '!$E$61</definedName>
    <definedName name="Status" localSheetId="9">#REF!</definedName>
    <definedName name="Status" localSheetId="10">#REF!</definedName>
    <definedName name="Status">[12]Constants!$A$1:$A$4</definedName>
    <definedName name="System" localSheetId="9">[6]Lists!$A$2:$A$7</definedName>
    <definedName name="System" localSheetId="10">[7]Lists!$A$2:$A$7</definedName>
    <definedName name="System">[8]Lists!$A$2:$A$7</definedName>
    <definedName name="Testbench" localSheetId="9">[6]Lists!$M$2:$M$3</definedName>
    <definedName name="Testbench" localSheetId="10">[7]Lists!$M$2:$M$3</definedName>
    <definedName name="Testbench">[8]Lists!$M$2:$M$3</definedName>
    <definedName name="Tests_Dist_Env" localSheetId="6">'[8]Testcases Detailed'!#REF!</definedName>
    <definedName name="Tests_Dist_Env" localSheetId="12">'[8]Testcases Detailed'!#REF!</definedName>
    <definedName name="Tests_Dist_Env" localSheetId="13">'[8]Testcases Detailed'!#REF!</definedName>
    <definedName name="Tests_Dist_Env" localSheetId="14">'[8]Testcases Detailed'!#REF!</definedName>
    <definedName name="Tests_Dist_Env" localSheetId="15">'[8]Testcases Detailed'!#REF!</definedName>
    <definedName name="Tests_Dist_Env" localSheetId="3">'[8]Testcases Detailed'!#REF!</definedName>
    <definedName name="Tests_Dist_Env">'[8]Testcases Detailed'!#REF!</definedName>
    <definedName name="UsageOutcome" localSheetId="9">[1]Lists!$B$113:$B$117</definedName>
    <definedName name="UsageOutcome" localSheetId="10">[2]Lists!$B$113:$B$117</definedName>
    <definedName name="UsageOutcome" localSheetId="12">[3]Lists!$B$99:$B$103</definedName>
    <definedName name="UsageOutcome" localSheetId="13">[3]Lists!$B$99:$B$103</definedName>
    <definedName name="UsageOutcome" localSheetId="14">[3]Lists!$B$99:$B$103</definedName>
    <definedName name="UsageOutcome" localSheetId="15">[3]Lists!$B$99:$B$103</definedName>
    <definedName name="UsageOutcome">Lists!$B$113:$B$117</definedName>
    <definedName name="Yes" localSheetId="9">#REF!</definedName>
    <definedName name="Yes" localSheetId="10">#REF!</definedName>
    <definedName name="Yes">[12]Constants!$C$1:$C$65536</definedName>
    <definedName name="YesNo" localSheetId="9">[6]Lists!$I$2:$I$4</definedName>
    <definedName name="YesNo" localSheetId="10">[7]Lists!$I$2:$I$4</definedName>
    <definedName name="YesNo">[8]Lists!$I$2:$I$4</definedName>
  </definedNames>
  <calcPr calcId="145621"/>
</workbook>
</file>

<file path=xl/calcChain.xml><?xml version="1.0" encoding="utf-8"?>
<calcChain xmlns="http://schemas.openxmlformats.org/spreadsheetml/2006/main">
  <c r="B28" i="53" l="1"/>
  <c r="C22" i="53"/>
  <c r="B36" i="53" s="1"/>
  <c r="B34" i="53" l="1"/>
  <c r="B26" i="53"/>
  <c r="B35" i="53"/>
  <c r="B37" i="53"/>
  <c r="B27" i="53"/>
  <c r="B83" i="52" l="1"/>
  <c r="B82" i="52"/>
  <c r="H47" i="52"/>
  <c r="F47" i="52"/>
  <c r="H43" i="52" s="1"/>
  <c r="H45" i="52"/>
  <c r="F45" i="52"/>
  <c r="F43" i="52"/>
  <c r="H36" i="52"/>
  <c r="F36" i="52"/>
  <c r="H24" i="52"/>
  <c r="F24" i="52"/>
  <c r="H22" i="52"/>
  <c r="F22" i="52"/>
  <c r="B76" i="52" l="1"/>
  <c r="F80" i="32" l="1"/>
  <c r="F81" i="32"/>
  <c r="F82" i="32"/>
  <c r="F83" i="32"/>
  <c r="F84" i="32"/>
  <c r="F85" i="32"/>
  <c r="F79" i="32"/>
  <c r="F75" i="32"/>
  <c r="F76" i="32"/>
  <c r="F77" i="32"/>
  <c r="F74" i="32"/>
  <c r="F59" i="32"/>
  <c r="F60" i="32"/>
  <c r="F61" i="32"/>
  <c r="F62" i="32"/>
  <c r="F63" i="32"/>
  <c r="F64" i="32"/>
  <c r="F65" i="32"/>
  <c r="F66" i="32"/>
  <c r="F67" i="32"/>
  <c r="F68" i="32"/>
  <c r="F69" i="32"/>
  <c r="F70" i="32"/>
  <c r="F71" i="32"/>
  <c r="F72" i="32"/>
  <c r="F58" i="32"/>
  <c r="F53" i="32"/>
  <c r="F54" i="32"/>
  <c r="F55" i="32"/>
  <c r="F56" i="32"/>
  <c r="F52" i="32"/>
  <c r="F49" i="32"/>
  <c r="F50" i="32"/>
  <c r="F48" i="32"/>
  <c r="F42" i="32"/>
  <c r="F43" i="32"/>
  <c r="F44" i="32"/>
  <c r="F45" i="32"/>
  <c r="F46" i="32"/>
  <c r="F41" i="32"/>
  <c r="F35" i="32"/>
  <c r="F36" i="32"/>
  <c r="F37" i="32"/>
  <c r="F38" i="32"/>
  <c r="F39" i="32"/>
  <c r="F34" i="32"/>
  <c r="F32" i="32"/>
  <c r="F30" i="32"/>
  <c r="F29" i="32"/>
  <c r="F28" i="32"/>
  <c r="F26" i="32"/>
  <c r="F25" i="32"/>
  <c r="F24" i="32"/>
  <c r="F22" i="32"/>
  <c r="F21" i="32"/>
  <c r="F8" i="32"/>
  <c r="F9" i="32"/>
  <c r="F10" i="32"/>
  <c r="F11" i="32"/>
  <c r="F12" i="32"/>
  <c r="F13" i="32"/>
  <c r="F14" i="32"/>
  <c r="F15" i="32"/>
  <c r="F16" i="32"/>
  <c r="F17" i="32"/>
  <c r="F18" i="32"/>
  <c r="F19" i="32"/>
  <c r="F7" i="32"/>
  <c r="C77" i="32"/>
  <c r="C76" i="32"/>
  <c r="C75" i="32"/>
  <c r="C74" i="32"/>
  <c r="C71" i="32"/>
  <c r="C69" i="32"/>
  <c r="C66" i="32"/>
  <c r="C62" i="32"/>
  <c r="C61" i="32"/>
  <c r="C60" i="32"/>
  <c r="C59" i="32"/>
  <c r="C50" i="32"/>
  <c r="C39" i="32"/>
  <c r="C37" i="32"/>
  <c r="C35" i="32"/>
  <c r="C30" i="32"/>
  <c r="C29" i="32"/>
  <c r="C28" i="32"/>
  <c r="C26" i="32"/>
  <c r="C25" i="32"/>
  <c r="C24" i="32"/>
  <c r="C19" i="32"/>
  <c r="C16" i="32"/>
  <c r="C15" i="32"/>
  <c r="C14" i="32"/>
  <c r="C7" i="32"/>
</calcChain>
</file>

<file path=xl/sharedStrings.xml><?xml version="1.0" encoding="utf-8"?>
<sst xmlns="http://schemas.openxmlformats.org/spreadsheetml/2006/main" count="1893" uniqueCount="1100">
  <si>
    <t>First of Type</t>
  </si>
  <si>
    <t>Item</t>
  </si>
  <si>
    <t>Response</t>
  </si>
  <si>
    <t>Guidance</t>
  </si>
  <si>
    <t>Date</t>
  </si>
  <si>
    <t>Product</t>
  </si>
  <si>
    <t>Supplier</t>
  </si>
  <si>
    <t>Category</t>
  </si>
  <si>
    <t>Audit</t>
  </si>
  <si>
    <t>Info</t>
  </si>
  <si>
    <t>Type</t>
  </si>
  <si>
    <t>Name</t>
  </si>
  <si>
    <t>Email</t>
  </si>
  <si>
    <t>Telno</t>
  </si>
  <si>
    <t>Project Manager</t>
  </si>
  <si>
    <t>Job Title</t>
  </si>
  <si>
    <t>Other Project Team Members</t>
  </si>
  <si>
    <t>Other Stakeholders</t>
  </si>
  <si>
    <t>Other contact details</t>
  </si>
  <si>
    <t>User representative(s)</t>
  </si>
  <si>
    <t xml:space="preserve">Other key ICT contacts </t>
  </si>
  <si>
    <t>ICT Manager(s)</t>
  </si>
  <si>
    <t>SIRO(s)</t>
  </si>
  <si>
    <t>Clinical Safety Officer(s)</t>
  </si>
  <si>
    <t>Version and configuration details</t>
  </si>
  <si>
    <t>Other Supplier 1</t>
  </si>
  <si>
    <t>Repeat and add other suppliers as required</t>
  </si>
  <si>
    <t>Project Board Executive</t>
  </si>
  <si>
    <t>Category / Requirement</t>
  </si>
  <si>
    <t>Detail</t>
  </si>
  <si>
    <t>N/A</t>
  </si>
  <si>
    <t>Technical Contact</t>
  </si>
  <si>
    <t>Executive Sponsor</t>
  </si>
  <si>
    <t>Other Supplier's Stakeholders</t>
  </si>
  <si>
    <t>Supplier Project Manager</t>
  </si>
  <si>
    <t>Supplier Technical</t>
  </si>
  <si>
    <t>Supplier Executive Sponsor</t>
  </si>
  <si>
    <t>Additional Information Required</t>
  </si>
  <si>
    <t>Additional Stakeholder Involvement</t>
  </si>
  <si>
    <t>IT Operations Planning</t>
  </si>
  <si>
    <t>Data Centre Resilience and Manageability</t>
  </si>
  <si>
    <r>
      <t xml:space="preserve">Ensuring that the Go Live process is adequately planned, including contingency planning. </t>
    </r>
    <r>
      <rPr>
        <i/>
        <sz val="10"/>
        <rFont val="Arial"/>
        <family val="2"/>
      </rPr>
      <t xml:space="preserve">
Topics to cover include:
 - Cutover and Fallback
 - Installation and Configuration
 - Network worthiness
 - Data Migration</t>
    </r>
  </si>
  <si>
    <t>Operational Checks</t>
  </si>
  <si>
    <t>End-to-End Performance Design Review</t>
  </si>
  <si>
    <r>
      <t>Ensuring that the solution is performant under the anticipated usage load.</t>
    </r>
    <r>
      <rPr>
        <i/>
        <sz val="10"/>
        <rFont val="Arial"/>
        <family val="2"/>
      </rPr>
      <t xml:space="preserve">
Topics to cover include:
 - Estimated usage volumetrics 
 - Service Levels required
 - End-to-end performance implications of transactions via the new interface.
 - Volume and Performance (V&amp;P) testing and / or performance design review</t>
    </r>
  </si>
  <si>
    <t>Integration Architecture</t>
  </si>
  <si>
    <t>Interface Change Planning</t>
  </si>
  <si>
    <t>Information Architecture</t>
  </si>
  <si>
    <r>
      <t xml:space="preserve">Ensuring that the solution supports data quality - and in particular that the new interface does not propagate low quality or misleading data between systems. </t>
    </r>
    <r>
      <rPr>
        <i/>
        <sz val="10"/>
        <rFont val="Arial"/>
        <family val="2"/>
      </rPr>
      <t xml:space="preserve">
Topics to cover include:
 - Message validation (The approach to technical message validation - specifically how sending systems ensure that generated messages are valid)
 - Data content quality (The mechanisms in place to ensure that data passing via the new interface is complete, consistent, timely and accurate)
 - Data Concurrency (Ensuring that data made available via the new interface is kept up-to-date, and that updates of "stale" data are not able to corrupt upstream system)</t>
    </r>
  </si>
  <si>
    <t>Use of Data Standards</t>
  </si>
  <si>
    <t>Clinical Safety</t>
  </si>
  <si>
    <t>Technical Clinical Safety Review</t>
  </si>
  <si>
    <t>Control</t>
  </si>
  <si>
    <t>Additional Notes / References</t>
  </si>
  <si>
    <t>Business Scenario(s)</t>
  </si>
  <si>
    <t>Action</t>
  </si>
  <si>
    <t>Demographic Query</t>
  </si>
  <si>
    <t>Demographic Cross Organisation</t>
  </si>
  <si>
    <t>Process Controls</t>
  </si>
  <si>
    <t>These Process Controls are always relevant</t>
  </si>
  <si>
    <t>Information Security Management System (ISMS)</t>
  </si>
  <si>
    <t>Technical Controls</t>
  </si>
  <si>
    <t>These Technical Controls are always relevant</t>
  </si>
  <si>
    <t>Secure Communications</t>
  </si>
  <si>
    <t>Storage</t>
  </si>
  <si>
    <t>Time Stamping</t>
  </si>
  <si>
    <t>Network Access</t>
  </si>
  <si>
    <t>Workstation Access</t>
  </si>
  <si>
    <t>Content Commitment</t>
  </si>
  <si>
    <r>
      <t xml:space="preserve">Are Digital Signatures used where necessary to sign content and / or authenticate the identity of a sender? </t>
    </r>
    <r>
      <rPr>
        <i/>
        <sz val="10"/>
        <rFont val="Arial"/>
        <family val="2"/>
      </rPr>
      <t xml:space="preserve">
This may be not applicable, in which case leave blank and note as "Not applicable" in the Additional Notes column</t>
    </r>
  </si>
  <si>
    <t>Security Testing</t>
  </si>
  <si>
    <t>IG Controls (Baseline)</t>
  </si>
  <si>
    <t>These Baseline IG controls are always relevant</t>
  </si>
  <si>
    <t>Authentication</t>
  </si>
  <si>
    <t>Role Based Access Control (RBAC)</t>
  </si>
  <si>
    <t>Data Retention</t>
  </si>
  <si>
    <t>End-to-End Information Flows</t>
  </si>
  <si>
    <t>This section looks at the overall end-to-end information flows and examines the potential for data leakage or data integrity issues as a result of implementing the new interface</t>
  </si>
  <si>
    <t>Data Leakage Issues?</t>
  </si>
  <si>
    <t>Data Integrity Issues?</t>
  </si>
  <si>
    <t>External Impacts</t>
  </si>
  <si>
    <t>Are there any potential implications or risks of this work for external organisations?</t>
  </si>
  <si>
    <t>Could this interface potentially have an impact on Spine data?</t>
  </si>
  <si>
    <t>Clinical Safety Signoff Level</t>
  </si>
  <si>
    <t>Client System Details</t>
  </si>
  <si>
    <t>Title</t>
  </si>
  <si>
    <t>Description</t>
  </si>
  <si>
    <t>Version</t>
  </si>
  <si>
    <t>Status</t>
  </si>
  <si>
    <t>Document History</t>
  </si>
  <si>
    <t>This section provides a reference list of stakeholders who MAY need to be contacted, as an aid to building a virtual project team.</t>
  </si>
  <si>
    <t>It allows specific contact details to be recorded for those roles which are relevant - both for day-to-day practical purposes, and as an audit trail of those involved.</t>
  </si>
  <si>
    <t>(Note that there may be multiple individuals for some stakeholder roles, and extra lines should be inserted as necessary).</t>
  </si>
  <si>
    <t>This section examines the system architecture to ensure that it is fit for purpose.</t>
  </si>
  <si>
    <t>The intention is for this spreadsheet to act as a checklist and cross-reference to ensure that all necessary points are covered in more detailed technical documentation.</t>
  </si>
  <si>
    <t>This section confirms the Information Governance (IG) controls required, and the mechanisms for implementation of each.</t>
  </si>
  <si>
    <t>The emphasis is on highlighting the business requirement for a particular control, rather than mandating that a particular technical mechanism be used.</t>
  </si>
  <si>
    <t>For each IG control a number of recognised technical implementation mechanisms are listed, and use of these pre-established mechanisms can accelerate implementation.</t>
  </si>
  <si>
    <t>This section confirms actions required to mitigate Clinical Safety risks.</t>
  </si>
  <si>
    <t>ODS Code</t>
  </si>
  <si>
    <t>Client Interface Overview</t>
  </si>
  <si>
    <t>Compliance</t>
  </si>
  <si>
    <t>N</t>
  </si>
  <si>
    <t>Select</t>
  </si>
  <si>
    <t>Purpose</t>
  </si>
  <si>
    <t>Other Health Organisations impacted?</t>
  </si>
  <si>
    <t>Actioned By</t>
  </si>
  <si>
    <t>If the analysis of End-to-End Information Flows above has identified further systems downstream of the new interface itself, indicate the nature of these further data flows
(This has implications for the significance of any data leakage or data integrity issues identified)</t>
  </si>
  <si>
    <t>CS-01</t>
  </si>
  <si>
    <t>CS-02</t>
  </si>
  <si>
    <t>IO-01</t>
  </si>
  <si>
    <t>IO-02</t>
  </si>
  <si>
    <t>IO-03</t>
  </si>
  <si>
    <t>IO-04</t>
  </si>
  <si>
    <t>IA-01</t>
  </si>
  <si>
    <t>IA-02</t>
  </si>
  <si>
    <t>IN-01</t>
  </si>
  <si>
    <t>IN-02</t>
  </si>
  <si>
    <t>CL-01</t>
  </si>
  <si>
    <r>
      <t xml:space="preserve">Ensuring that an appropriate integration architecture is in place.
</t>
    </r>
    <r>
      <rPr>
        <i/>
        <sz val="10"/>
        <rFont val="Arial"/>
        <family val="2"/>
      </rPr>
      <t>Topics to cover include:
 - Use of integration middleware (e.g. Trust Integration Engine, Toolkit Middleware)
 - Interface usage (Can existing interfaces be used and/or are any new interfaces or messages needed?)
 - Adapters (Consideration of any new adapters that may be needed to convert between data formats)
 - End-to-End Reliability (e.g.  acknowledgements, retries, transactionality)
 - Sequencing (Mechanisms used to manage business and technical level sequencing and orchestration of messages)
 - Backwards and Forwards compatibility (The technical approach to message versioning, and the approach to handling potential changes in the message definitions)</t>
    </r>
  </si>
  <si>
    <r>
      <t xml:space="preserve">Ensuring that consideration is given to hosting the solution with an appropriate level of resilience and reliability. 
</t>
    </r>
    <r>
      <rPr>
        <i/>
        <sz val="10"/>
        <rFont val="Arial"/>
        <family val="2"/>
      </rPr>
      <t>Topics to cover include:
 - Resilience / Failover
      - Identification of any single points of failure
      - Load balancing design and failure scenarios
 - Backup and Recovery
 - Disaster Recovery
 - Alerting and Monitoring</t>
    </r>
  </si>
  <si>
    <t xml:space="preserve">…...on behalf of the Client Supplier </t>
  </si>
  <si>
    <t>Role</t>
  </si>
  <si>
    <t>Approval Date</t>
  </si>
  <si>
    <t>Organisation</t>
  </si>
  <si>
    <t>Other individuals as required</t>
  </si>
  <si>
    <t>Deployment Topology A</t>
  </si>
  <si>
    <t>Deployment Topology B</t>
  </si>
  <si>
    <r>
      <t xml:space="preserve">Ensuring that the processes and procedures in place to make sure that the interface can be maintained and kept up-to-date. </t>
    </r>
    <r>
      <rPr>
        <i/>
        <sz val="10"/>
        <rFont val="Arial"/>
        <family val="2"/>
      </rPr>
      <t xml:space="preserve">
For example, what would be the impact of a change to an upstream system, and how would this be notified and managed? This is likely to include regression testing</t>
    </r>
  </si>
  <si>
    <r>
      <t>Ensuring that the technical aspects of the solution provide adequate support for clinical safety</t>
    </r>
    <r>
      <rPr>
        <i/>
        <sz val="10"/>
        <rFont val="Arial"/>
        <family val="2"/>
      </rPr>
      <t xml:space="preserve">
Topics to cover include:
- What is the impact on care or provision of clinical of any integration layer becoming unavailable?
- What is the impact of a transactional failure, or a failure of a single request in a sequence of interactions ? 
- Are there any implications for “chains of systems” – such that changes to one system have clinical safety implications for other systems with which it is integrated?
- How are users informed of a failure so that they can react accordingly ?
- How are applications informed of a failure to that they can support their users, and leave their systems in a safe, stable state ?
- How are failures logged so that operations staff can understand what went wrong, and react accordingly ?</t>
    </r>
  </si>
  <si>
    <t>Richard Dobson</t>
  </si>
  <si>
    <t>Medical Device?</t>
  </si>
  <si>
    <t>Updating Spine?</t>
  </si>
  <si>
    <t>System Function? Is there a requirement on Clinical Safety?</t>
  </si>
  <si>
    <t>Safety Issues?</t>
  </si>
  <si>
    <t>Safety Compliance</t>
  </si>
  <si>
    <t>Data Usage</t>
  </si>
  <si>
    <t>Data Storage</t>
  </si>
  <si>
    <t>Organisation Type</t>
  </si>
  <si>
    <t>Date Started</t>
  </si>
  <si>
    <t>Date Published</t>
  </si>
  <si>
    <t>This details the actual use and physical storage of the data</t>
  </si>
  <si>
    <t>Approved/Rejected</t>
  </si>
  <si>
    <t>Reason</t>
  </si>
  <si>
    <t>Actual Data User Organisation</t>
  </si>
  <si>
    <t>Approval/Rejection</t>
  </si>
  <si>
    <t>Area</t>
  </si>
  <si>
    <t xml:space="preserve"> Date</t>
  </si>
  <si>
    <t>Outcome of Usage and Settings Statement</t>
  </si>
  <si>
    <t>Not Complete</t>
  </si>
  <si>
    <t>NHS Digital Approver</t>
  </si>
  <si>
    <t>NHS Digital Stakeholders</t>
  </si>
  <si>
    <t>NHS Digital Clinical Safety Group contact</t>
  </si>
  <si>
    <t>NHS Digital Release Manager</t>
  </si>
  <si>
    <t>Ensuring that the solution makes appropriate use of all relevant data standards.
Topics to cover include:
 - Use of NHS Digital Data Standards including:
     • SNOMED – for reference terminology
     • NHS Data Dictionary – for administrative codes
     • ICD-10 and OPCS – for reporting
 - Reasons for any differences from the above. 
 - Does the project represent an opportunity to migrate towards these NHS Digital data standards?
 - Data Mappings (Are any mappings between different data standards required? If yes, indicate what these mappings are - and confirm that it is both possible and clinically safe to perform the translation)</t>
  </si>
  <si>
    <t>Downstream Issue Business Scenario(s)</t>
  </si>
  <si>
    <t>Reviewers</t>
  </si>
  <si>
    <t>This document must be reviewed by the following people:</t>
  </si>
  <si>
    <t>Reviewer name</t>
  </si>
  <si>
    <t>Title / Responsibility</t>
  </si>
  <si>
    <t>Approved by</t>
  </si>
  <si>
    <t xml:space="preserve">This document must be approved by the following people: </t>
  </si>
  <si>
    <t>Mike Anderson</t>
  </si>
  <si>
    <t>Information Governance Subject Matter Expert</t>
  </si>
  <si>
    <t>Professional Services - Safety Engineer</t>
  </si>
  <si>
    <t>Nicholas Apperley</t>
  </si>
  <si>
    <t>Phase 1A - Usage and Settings - Approved by NHS Digital</t>
  </si>
  <si>
    <t xml:space="preserve">NHS Digital </t>
  </si>
  <si>
    <t>SR-16</t>
  </si>
  <si>
    <t>SR-15</t>
  </si>
  <si>
    <t>SR-14</t>
  </si>
  <si>
    <t>SR-13</t>
  </si>
  <si>
    <t>SR-12</t>
  </si>
  <si>
    <t>Incident Management</t>
  </si>
  <si>
    <t>SR-11</t>
  </si>
  <si>
    <t>SR-10</t>
  </si>
  <si>
    <t>SR-09</t>
  </si>
  <si>
    <t>SR-08</t>
  </si>
  <si>
    <t>SR-07</t>
  </si>
  <si>
    <t>SR-06</t>
  </si>
  <si>
    <t>SR-05</t>
  </si>
  <si>
    <t>Support Hours</t>
  </si>
  <si>
    <t>SR-04</t>
  </si>
  <si>
    <t>SR-03</t>
  </si>
  <si>
    <t>SR-02</t>
  </si>
  <si>
    <t>SR-01</t>
  </si>
  <si>
    <t>Evidence</t>
  </si>
  <si>
    <t>Activity</t>
  </si>
  <si>
    <t>Submitted information will be recorded by the NHS Digital Service Management team.</t>
  </si>
  <si>
    <t>Health or Social Care Organisation Details</t>
  </si>
  <si>
    <t>Organisation Name</t>
  </si>
  <si>
    <t>Postal Address</t>
  </si>
  <si>
    <t>Postcode</t>
  </si>
  <si>
    <t>Email Address</t>
  </si>
  <si>
    <t>Telephone</t>
  </si>
  <si>
    <t>Data Protection Act Information</t>
  </si>
  <si>
    <t>Data Protection Act Registration details</t>
  </si>
  <si>
    <t>Reference</t>
  </si>
  <si>
    <t>This may reference the former HSCIC.</t>
  </si>
  <si>
    <t>Expiry Date</t>
  </si>
  <si>
    <t>Local Data Sharing Agreements</t>
  </si>
  <si>
    <t>For multiple local organisations</t>
  </si>
  <si>
    <t>PDS Data and Access Method</t>
  </si>
  <si>
    <t>PDS data already held</t>
  </si>
  <si>
    <t>Current PDS access method</t>
  </si>
  <si>
    <t>If appropriate.  Select from list.</t>
  </si>
  <si>
    <t>PDS data requested</t>
  </si>
  <si>
    <t>Requested PDS access method</t>
  </si>
  <si>
    <t>Select from list.</t>
  </si>
  <si>
    <t>Application provider name</t>
  </si>
  <si>
    <t>Request Details</t>
  </si>
  <si>
    <t>Processing Objectives and Purpose</t>
  </si>
  <si>
    <t>Summary information - abstract of the "Method" detail below.</t>
  </si>
  <si>
    <t>Context Diagram</t>
  </si>
  <si>
    <t>Describing the player organisations, the data flows between them and the underlying technical architecture.  Embed a PDF of a PowerPoint or Visio diagram.</t>
  </si>
  <si>
    <t>Method:  Business Processes</t>
  </si>
  <si>
    <t>Method:  System Processes</t>
  </si>
  <si>
    <t>With reference to the Technical Architecture.</t>
  </si>
  <si>
    <t>Outputs</t>
  </si>
  <si>
    <t>In Business Process terms.</t>
  </si>
  <si>
    <t>Benefits</t>
  </si>
  <si>
    <t>User roles</t>
  </si>
  <si>
    <t>Target date for implementation</t>
  </si>
  <si>
    <t>Legal Basis</t>
  </si>
  <si>
    <t>Public bodies - the Statutory Functions</t>
  </si>
  <si>
    <t>Highlighting those relevant to this request.  Embed PDF document.</t>
  </si>
  <si>
    <t>Legal Basis for data release</t>
  </si>
  <si>
    <t>If known at this stage.  Embed PDF document.</t>
  </si>
  <si>
    <t>Health and Social Care Act 2012 ref.</t>
  </si>
  <si>
    <t>Section, etc.</t>
  </si>
  <si>
    <t>Legal Basis for data receipt and use</t>
  </si>
  <si>
    <t>Security and IG Assurance</t>
  </si>
  <si>
    <t>Current IG Toolkit (IGT) Version</t>
  </si>
  <si>
    <t>The score quoted below should be using the latest IGT version.</t>
  </si>
  <si>
    <t>Current IG Toolkit (IGT) Score</t>
  </si>
  <si>
    <t>Date of the above</t>
  </si>
  <si>
    <t>ISO 27001 Certification Details</t>
  </si>
  <si>
    <t>Security Policy Information</t>
  </si>
  <si>
    <t>Data Centre Location(s) - Main</t>
  </si>
  <si>
    <t>Full address.</t>
  </si>
  <si>
    <t>Jurisdiction</t>
  </si>
  <si>
    <t>Data Centre Location(s) - Backup</t>
  </si>
  <si>
    <t>IGSoC organisation type - select from list.</t>
  </si>
  <si>
    <t>Date started IGSoC.</t>
  </si>
  <si>
    <t>Date IGSoC was published.</t>
  </si>
  <si>
    <t>Self-assessed Grade</t>
  </si>
  <si>
    <t>Third Party Supplier Details</t>
  </si>
  <si>
    <t>Product(s)</t>
  </si>
  <si>
    <t>The product name(s).  Refer to Context Diagram and Technical Architecture.</t>
  </si>
  <si>
    <t>Supplier(s)</t>
  </si>
  <si>
    <t>Where known and relevant, provide any further details about the product configuration (eg, licensed modules, relevant parameter settings. etc).</t>
  </si>
  <si>
    <t>Service aggregation information</t>
  </si>
  <si>
    <t>Q5.5 As the client, is there:
a) a Clinical Safety Officer or suitably trained and experienced clinicians
or
b) a Social Care Professional, registered by the General Social Care Council.
who has signed off the system and interface?</t>
  </si>
  <si>
    <t>CS-055</t>
  </si>
  <si>
    <t>Q5.4 As the client, is there a formal Safety Case and incorporating Hazard log?</t>
  </si>
  <si>
    <t>CS-054</t>
  </si>
  <si>
    <t>Q5.3 As the client, have you conducted a formal Risk Assessment and identified Clinical Safety Hazards in accordance with SCCI0129 / 0160?</t>
  </si>
  <si>
    <t>CS-053</t>
  </si>
  <si>
    <t>CS-051</t>
  </si>
  <si>
    <t>CS-04</t>
  </si>
  <si>
    <t>CS-034</t>
  </si>
  <si>
    <t>CS-033</t>
  </si>
  <si>
    <t>CS-032</t>
  </si>
  <si>
    <t>CS-031</t>
  </si>
  <si>
    <t>Matt Wyatt</t>
  </si>
  <si>
    <t>Security Subject Matter Expert</t>
  </si>
  <si>
    <t>If the Go-Live will be phased then anticipated dates and timeframes for the service to be introduced with end users.</t>
  </si>
  <si>
    <t>Escalation Contacts (all relevant levels)</t>
  </si>
  <si>
    <t>Escalation and Complaints Process</t>
  </si>
  <si>
    <t>Operational contact numbers</t>
  </si>
  <si>
    <t>High Severity Service Incident Manager</t>
  </si>
  <si>
    <t>Incident Severity Levels</t>
  </si>
  <si>
    <t>Out of hours contact number
(state if same as above)</t>
  </si>
  <si>
    <t>This section ensures the correct operational processes are in place.</t>
  </si>
  <si>
    <t xml:space="preserve">Q3.1: Is the System integrating with other systems (e.g. a parent System, examples may include a patient administration system or prescribing system)?
Output: If the answer is ‘Yes’, further safety assurance may be required in accordance with SCCI0129 / SCCI0160.
</t>
  </si>
  <si>
    <t xml:space="preserve">Q3.2 Is the system used solely to automate general office functions to assist in payments and billing etc.?
</t>
  </si>
  <si>
    <t>Q3.3 Is the System a transactional one (e.g. Used to book, amend and cancel appointments or to issue a prescription or repeat medication)? 
Output: If the answer is ‘Yes’, further safety assurance may be required.</t>
  </si>
  <si>
    <t xml:space="preserve">Q3.4 Is this a calculation and / or monitoring System (e.g. recording patient Clinical Information), which is used to record, track and/or maintain health for ongoing Clinical support? 
Output: If the answer is ‘Yes’, further safety assurance may be required in accordance. 
</t>
  </si>
  <si>
    <t xml:space="preserve">Q5.2 In applying the questions set out in Q2 through Q3, does the output recommend further safety assurance as required under SCCI0129 or 0160?
</t>
  </si>
  <si>
    <r>
      <t xml:space="preserve">See Clinical Risk Management standards and implementation guidance documents for details
</t>
    </r>
    <r>
      <rPr>
        <i/>
        <u/>
        <sz val="10"/>
        <color indexed="8"/>
        <rFont val="Arial"/>
        <family val="2"/>
      </rPr>
      <t>http://systems.digital.nhs.uk/clinsafety</t>
    </r>
  </si>
  <si>
    <t>Andy Dickinson</t>
  </si>
  <si>
    <t>System Usage</t>
  </si>
  <si>
    <t xml:space="preserve">System Setting  </t>
  </si>
  <si>
    <t>Other key End User Organisation ICT contacts - e.g. for architecture / design, operations etc.</t>
  </si>
  <si>
    <t>Step 1 - Contacts Log</t>
  </si>
  <si>
    <t>Step 4 - Please Select the Topology which matches the Deployment</t>
  </si>
  <si>
    <t xml:space="preserve">…...on behalf of the End User Organisation </t>
  </si>
  <si>
    <t>SIRO - This IG assessment must be submitted to the End User Organisation's Senior Information Risk Owner for sign-off</t>
  </si>
  <si>
    <t>Step 7 - Clinical Safety</t>
  </si>
  <si>
    <t>…...on behalf of the End User Organisation</t>
  </si>
  <si>
    <t>CS-052</t>
  </si>
  <si>
    <t>Cat.</t>
  </si>
  <si>
    <t>Date / List / Code</t>
  </si>
  <si>
    <t>Response text - or code or list and explanatory text</t>
  </si>
  <si>
    <t>Assess</t>
  </si>
  <si>
    <t>NHS Digital Contact Centre Reference</t>
  </si>
  <si>
    <t>NYA</t>
  </si>
  <si>
    <t>NHS or not</t>
  </si>
  <si>
    <t>Data Controller(s)</t>
  </si>
  <si>
    <t>Data Processor(s)</t>
  </si>
  <si>
    <t>Date this form first Submitted</t>
  </si>
  <si>
    <t>Subsequent dates can be in the "Response" column.</t>
  </si>
  <si>
    <t>Existing Data Sharing Framework Contract</t>
  </si>
  <si>
    <t>If none existing, one will need to be raised</t>
  </si>
  <si>
    <t>Date of Signature by NHS Digital</t>
  </si>
  <si>
    <t>Existing Data Sharing Agreement</t>
  </si>
  <si>
    <t>If more than one - additional information in "Response".</t>
  </si>
  <si>
    <t>If appropriate.  List data items.</t>
  </si>
  <si>
    <t>NYK</t>
  </si>
  <si>
    <t>List data items.</t>
  </si>
  <si>
    <t>Registration Authority (RA) and ODS code</t>
  </si>
  <si>
    <t>Overview of Use Cases, with reference to the Context Diagram..</t>
  </si>
  <si>
    <t>To the end users and patients or service users.  Provide real life examples if appropriate.</t>
  </si>
  <si>
    <t>eg, nurse, care worker.</t>
  </si>
  <si>
    <t>Numbers of users in each role</t>
  </si>
  <si>
    <t>Relevant Sections of relevant Acts</t>
  </si>
  <si>
    <t>Acts and Sections, etc.</t>
  </si>
  <si>
    <t>NHS Digital IGT Review Result</t>
  </si>
  <si>
    <t>Select from list.  If "other" provide full details.</t>
  </si>
  <si>
    <t>Additional jurisdiction information, if appropriate.</t>
  </si>
  <si>
    <t>Territory of Use Jurisdiction</t>
  </si>
  <si>
    <t>Client IGSoC Status - N3/HSCN connections</t>
  </si>
  <si>
    <t>Taken from IGSoC Toolkit.  Explain in "Response" box.</t>
  </si>
  <si>
    <t>For all products involved in the end to end system</t>
  </si>
  <si>
    <t>The supplier(s) of the product(s).</t>
  </si>
  <si>
    <t>Has product already been technically assessed?</t>
  </si>
  <si>
    <t>Describe the role this product plays in the deployment scenario.  Refer to Context Diagram and Technical Architecture.</t>
  </si>
  <si>
    <t>Has this supplier implemented this interface before (eg, at another health or care Organisation)?</t>
  </si>
  <si>
    <t>If this is a service provided to more than one organisation, give an overview of the service.  Refer to Context Diagram and Technical Architecture.
Note that separate agreements may be required for each organisation receiving the service.</t>
  </si>
  <si>
    <t>Step 3 - End User Organisation</t>
  </si>
  <si>
    <t>DRAFT v1</t>
  </si>
  <si>
    <t>"Type" column not yet in use - see "Lists" tab for Categories</t>
  </si>
  <si>
    <t>Responses</t>
  </si>
  <si>
    <t>NIC</t>
  </si>
  <si>
    <t>Contact Name</t>
  </si>
  <si>
    <t>Date Submitted</t>
  </si>
  <si>
    <t>DPA Registration</t>
  </si>
  <si>
    <t>FPN</t>
  </si>
  <si>
    <t>NHS Digital Signature</t>
  </si>
  <si>
    <t>Local DSA</t>
  </si>
  <si>
    <t>Current Method</t>
  </si>
  <si>
    <t>Requested Method</t>
  </si>
  <si>
    <t>Application provider</t>
  </si>
  <si>
    <t>RA</t>
  </si>
  <si>
    <t>Objectives and Purpose</t>
  </si>
  <si>
    <t>Business Processes</t>
  </si>
  <si>
    <t>System Processes</t>
  </si>
  <si>
    <t>Numbers of</t>
  </si>
  <si>
    <t>Target date</t>
  </si>
  <si>
    <t>Statutory Functions</t>
  </si>
  <si>
    <t>H&amp;SC Act 2012 ref.</t>
  </si>
  <si>
    <t>Legal Basis for data receipt</t>
  </si>
  <si>
    <t>Relevant Sections</t>
  </si>
  <si>
    <t>IGT Version</t>
  </si>
  <si>
    <t>IGT Score</t>
  </si>
  <si>
    <t>Review Result</t>
  </si>
  <si>
    <t>ISO 27001</t>
  </si>
  <si>
    <t>Security Policy</t>
  </si>
  <si>
    <t>Main Data Centre</t>
  </si>
  <si>
    <t>Backup Data Centre</t>
  </si>
  <si>
    <t>Territory</t>
  </si>
  <si>
    <t>Technically assessed?</t>
  </si>
  <si>
    <t>Version &amp; configuration</t>
  </si>
  <si>
    <t>Service aggregation</t>
  </si>
  <si>
    <t>RAG</t>
  </si>
  <si>
    <t>Risk Status</t>
  </si>
  <si>
    <t>Red</t>
  </si>
  <si>
    <t>High Risk</t>
  </si>
  <si>
    <t>Amber</t>
  </si>
  <si>
    <t>Medium Risk</t>
  </si>
  <si>
    <t>Green</t>
  </si>
  <si>
    <t>Limited or No Risk</t>
  </si>
  <si>
    <t>Comp-lete</t>
  </si>
  <si>
    <t>No further action</t>
  </si>
  <si>
    <t>Not applicable</t>
  </si>
  <si>
    <t>None Yet</t>
  </si>
  <si>
    <t>Not yet assessed</t>
  </si>
  <si>
    <t>Org Type</t>
  </si>
  <si>
    <t>Not yet allocated</t>
  </si>
  <si>
    <t>CCG</t>
  </si>
  <si>
    <t>Clinical Commissioning Group</t>
  </si>
  <si>
    <t>CIC</t>
  </si>
  <si>
    <t>Community Interest Corporation (usually former PCT community services)</t>
  </si>
  <si>
    <t>CSU</t>
  </si>
  <si>
    <t>Commissioning Support Unit (and the like)</t>
  </si>
  <si>
    <t>Govt</t>
  </si>
  <si>
    <t>Government Department</t>
  </si>
  <si>
    <t>GP</t>
  </si>
  <si>
    <t>GP Practices</t>
  </si>
  <si>
    <t>ISHP</t>
  </si>
  <si>
    <t>Independent Sector Healthcare Provider</t>
  </si>
  <si>
    <t>LA</t>
  </si>
  <si>
    <t>Local Authority</t>
  </si>
  <si>
    <t>NHS Digital</t>
  </si>
  <si>
    <t>Trust</t>
  </si>
  <si>
    <t>NHS Healthcare provider</t>
  </si>
  <si>
    <t>End User Org</t>
  </si>
  <si>
    <t>NHS or Not</t>
  </si>
  <si>
    <t>Not yet known</t>
  </si>
  <si>
    <t>NHS</t>
  </si>
  <si>
    <t>eg, trust, GP practice, etc</t>
  </si>
  <si>
    <t>Non-NHS</t>
  </si>
  <si>
    <t>eg, ISHP, servive provider</t>
  </si>
  <si>
    <t>Mixed</t>
  </si>
  <si>
    <t>Mixed NHS and Non-NHS staff</t>
  </si>
  <si>
    <t>Direct Care</t>
  </si>
  <si>
    <t>Delivery of health care or social care</t>
  </si>
  <si>
    <t>Other</t>
  </si>
  <si>
    <t>No single category applies - explained in "Objects/Purpose".</t>
  </si>
  <si>
    <t>PHIN</t>
  </si>
  <si>
    <t>Data to Private Health Information Network</t>
  </si>
  <si>
    <t>PROMS</t>
  </si>
  <si>
    <t>PROMS Questionnaires</t>
  </si>
  <si>
    <t>PDS Access Method</t>
  </si>
  <si>
    <t>Spine Full</t>
  </si>
  <si>
    <t>Full Spine Integrated system</t>
  </si>
  <si>
    <t>Partial Spine Integrated system</t>
  </si>
  <si>
    <t>SMSP</t>
  </si>
  <si>
    <t>Spine Mini Services Provider</t>
  </si>
  <si>
    <t>SCRa</t>
  </si>
  <si>
    <t>Summary Care Record Application</t>
  </si>
  <si>
    <t>DBS</t>
  </si>
  <si>
    <t>Demographics Batch Service</t>
  </si>
  <si>
    <t>DBS BS</t>
  </si>
  <si>
    <t>Demographics Batch Service Bureau Service</t>
  </si>
  <si>
    <t>Not Applicable</t>
  </si>
  <si>
    <t>IGT Review Result</t>
  </si>
  <si>
    <t xml:space="preserve">Not Satisfactory
</t>
  </si>
  <si>
    <t xml:space="preserve">Improvement
</t>
  </si>
  <si>
    <t>Satisfactory</t>
  </si>
  <si>
    <t>IGsOC Result</t>
  </si>
  <si>
    <t>UK</t>
  </si>
  <si>
    <t>Incudes Scotland and NI / not Isle of Man or Channel Islands</t>
  </si>
  <si>
    <t>EEA</t>
  </si>
  <si>
    <t>European Economic Area / includes Isle and Man and Channel Islands</t>
  </si>
  <si>
    <t>eg, outside EEA</t>
  </si>
  <si>
    <t>Assessment Scores</t>
  </si>
  <si>
    <t>OK</t>
  </si>
  <si>
    <t>Not OK</t>
  </si>
  <si>
    <t>Queries</t>
  </si>
  <si>
    <t>Queries outstanding</t>
  </si>
  <si>
    <t>PDS IG Scrutiny Category</t>
  </si>
  <si>
    <t>Risk Assess</t>
  </si>
  <si>
    <t>Undergoing risk assessment</t>
  </si>
  <si>
    <t>A - IAO</t>
  </si>
  <si>
    <t>Sign-off by PDS IAO</t>
  </si>
  <si>
    <t>A - SIRO</t>
  </si>
  <si>
    <t>Sign-off by SIRO</t>
  </si>
  <si>
    <t>B - IGARD 1st</t>
  </si>
  <si>
    <t>Submit to IGARD as 1st of Type</t>
  </si>
  <si>
    <t>B - IGARD 2nd</t>
  </si>
  <si>
    <t>Submit to IGARD as Subsequent of Type</t>
  </si>
  <si>
    <r>
      <t xml:space="preserve">Details of the IGSoC compliance status 
see </t>
    </r>
    <r>
      <rPr>
        <b/>
        <sz val="10"/>
        <color indexed="9"/>
        <rFont val="Arial"/>
        <family val="2"/>
      </rPr>
      <t>https://www.igt.hscic.gov.uk</t>
    </r>
  </si>
  <si>
    <r>
      <t xml:space="preserve">IG Toolkit information available at - </t>
    </r>
    <r>
      <rPr>
        <b/>
        <sz val="10"/>
        <color indexed="9"/>
        <rFont val="Arial"/>
        <family val="2"/>
      </rPr>
      <t>https://www.igt.hscic.gov.uk</t>
    </r>
  </si>
  <si>
    <t>End User Organisation's Stakeholders</t>
  </si>
  <si>
    <t>Supporting Topology Information</t>
  </si>
  <si>
    <t>Topology Justification</t>
  </si>
  <si>
    <t>Provide an outline for how the application meets the selected system topology.</t>
  </si>
  <si>
    <t>No. of End Points</t>
  </si>
  <si>
    <t xml:space="preserve">End Point Registration </t>
  </si>
  <si>
    <t>End User Organisation Owner</t>
  </si>
  <si>
    <r>
      <t xml:space="preserve">It provides best-practice guidance which </t>
    </r>
    <r>
      <rPr>
        <b/>
        <u/>
        <sz val="10"/>
        <rFont val="Arial"/>
        <family val="2"/>
      </rPr>
      <t>End User Organisations must consider</t>
    </r>
    <r>
      <rPr>
        <b/>
        <sz val="10"/>
        <rFont val="Arial"/>
        <family val="2"/>
      </rPr>
      <t xml:space="preserve"> when assuring their own architectures.</t>
    </r>
  </si>
  <si>
    <r>
      <t>It is the responsibility of the End User Organisation to agree the specific deployment approach with the Supplier</t>
    </r>
    <r>
      <rPr>
        <b/>
        <strike/>
        <sz val="10"/>
        <color indexed="8"/>
        <rFont val="Arial"/>
        <family val="2"/>
      </rPr>
      <t/>
    </r>
  </si>
  <si>
    <t>Phase 2 - Target Operating Model Assessment - Approved by the End User Organisation</t>
  </si>
  <si>
    <t>End User Organisation Approver</t>
  </si>
  <si>
    <t>End User  Organisation Owner</t>
  </si>
  <si>
    <r>
      <t xml:space="preserve">Must be in place in some instances </t>
    </r>
    <r>
      <rPr>
        <b/>
        <i/>
        <u/>
        <sz val="10"/>
        <color indexed="9"/>
        <rFont val="Arial"/>
        <family val="2"/>
      </rPr>
      <t>before</t>
    </r>
    <r>
      <rPr>
        <b/>
        <i/>
        <sz val="10"/>
        <color indexed="9"/>
        <rFont val="Arial"/>
        <family val="2"/>
      </rPr>
      <t xml:space="preserve"> the request is approved</t>
    </r>
  </si>
  <si>
    <t>Embed documents as appropriate.</t>
  </si>
  <si>
    <t>The effective start date.</t>
  </si>
  <si>
    <t>Information incomplete or ambiguous or not satisfactory</t>
  </si>
  <si>
    <t>Information sufficiently complete and satisfactory</t>
  </si>
  <si>
    <t>Approval</t>
  </si>
  <si>
    <t>Approved</t>
  </si>
  <si>
    <t>Rejected</t>
  </si>
  <si>
    <t>The usage and settings statement has been fully approved - no further usage and settings assessment required</t>
  </si>
  <si>
    <t>The usage and settings statement has been approved  - a DSFC and DSA must be sought</t>
  </si>
  <si>
    <t>The usage and settings statement has been approved  - DSA must be sought</t>
  </si>
  <si>
    <t xml:space="preserve">The usage and settings statement has been rejected  </t>
  </si>
  <si>
    <t>UsageOutcome</t>
  </si>
  <si>
    <t>IAC-nnnn-nnnnnnnn</t>
  </si>
  <si>
    <t>A single ODS code of the organisation with responsibility for the demographics query event. See https://odsportal.hscic.gov.uk/ - insert code in yellow box.</t>
  </si>
  <si>
    <t>Contact Postal Address</t>
  </si>
  <si>
    <t>Contact Postcode</t>
  </si>
  <si>
    <t>Contact Email Address</t>
  </si>
  <si>
    <t>Contact Telephone</t>
  </si>
  <si>
    <t>Existing Data Sharing Agreement (DSA)</t>
  </si>
  <si>
    <t>Summary of purpose in "Response" box with DSA reference. NB Each purpose will have a separate DSA.</t>
  </si>
  <si>
    <t>Provide an overview of the local Data Sharing Agreements and embed documents.</t>
  </si>
  <si>
    <t>NHS Digital National Service Desk</t>
  </si>
  <si>
    <t>Client Supplier Service Desk contact number</t>
  </si>
  <si>
    <t>Client Supplier Service desk email address</t>
  </si>
  <si>
    <t>Confirm that the Supplier has registered with the National Service Desk.</t>
  </si>
  <si>
    <t>Confirm that the Supplier has an incident management process in place that it will use with Commissioning Organisations and that is consistent with the NHS Digital Incident Management process. 
Attach evidence of any service and incident management processes to be used.</t>
  </si>
  <si>
    <t>Client Supplier</t>
  </si>
  <si>
    <t>Operational contacts and contact details (phone, email)</t>
  </si>
  <si>
    <t xml:space="preserve">Please provide local organisation chart where possible, with the roles pertaining to this service explained.
</t>
  </si>
  <si>
    <t>For Spine Integrated systems and Summary Care Record Application (SCRa) only. Insert RA ODS Code in yellow box.</t>
  </si>
  <si>
    <t>Only needed if there is no current/valid IGT score and no ISO 27001  - seek advice from demographics@nhs.net.
Embed PDF documents as necessary.</t>
  </si>
  <si>
    <r>
      <t xml:space="preserve">NIC reference. Please quote on </t>
    </r>
    <r>
      <rPr>
        <b/>
        <i/>
        <u/>
        <sz val="10"/>
        <rFont val="Arial"/>
        <family val="2"/>
      </rPr>
      <t>all</t>
    </r>
    <r>
      <rPr>
        <b/>
        <i/>
        <sz val="10"/>
        <rFont val="Arial"/>
        <family val="2"/>
      </rPr>
      <t xml:space="preserve"> correspondence to NHS Digital.</t>
    </r>
  </si>
  <si>
    <t>Select from list and provide further details in "Response" box if other than 'Not Satisfactory' or 'Improvement'.</t>
  </si>
  <si>
    <t>Please insert the date of the IGT Score</t>
  </si>
  <si>
    <t>If certificated against the ISO27001 Information Security standard, insert certificate details (reference, date obtained, scope) or embed a copy of the certificate.</t>
  </si>
  <si>
    <t>England / Wales</t>
  </si>
  <si>
    <t>This section details the individual who will assess the information provided in the entire Target Operating Model. Any risks highlighted during the completion of the TOM are accepted by and will be managed by the Approver of the End User Organisation.</t>
  </si>
  <si>
    <t>Health or Social Care Organisation Details (End User Organisation)</t>
  </si>
  <si>
    <r>
      <t xml:space="preserve">What access control approach is implemented?
</t>
    </r>
    <r>
      <rPr>
        <i/>
        <sz val="10"/>
        <rFont val="Arial"/>
        <family val="2"/>
      </rPr>
      <t>Role Based Access Control should limit users so that they can only access system functionality relevant to their job role
Recognised mechanisms include both National and Local RBAC
If Local RBAC is selected, please provide further details (this may be in the form of a reference to additional documentation)
Other mechanisms (e.g. limiting physical access to the system )should be noted as "Other" and described further in Additional Notes.</t>
    </r>
  </si>
  <si>
    <r>
      <t xml:space="preserve">What mechanism is provided for secure authentication of users?
</t>
    </r>
    <r>
      <rPr>
        <i/>
        <sz val="10"/>
        <rFont val="Arial"/>
        <family val="2"/>
      </rPr>
      <t>Recognised authentication (log-on) mechanisms include:
 - Spine smartcard
 - Other strong authentication e.g. two-factor token logon
Other mechanisms (e.g. username and password )should be noted as "Other" and described further in Additional Notes.</t>
    </r>
  </si>
  <si>
    <t xml:space="preserve">Roles and Responsibilities </t>
  </si>
  <si>
    <t>Responsibility within the TOM Completion, Review and Approval Process</t>
  </si>
  <si>
    <t xml:space="preserve">TOM Completion Guidance </t>
  </si>
  <si>
    <t xml:space="preserve"> </t>
  </si>
  <si>
    <t xml:space="preserve">                          </t>
  </si>
  <si>
    <t>This section captures contact  details for all involved organisations. Required for Phase 1A</t>
  </si>
  <si>
    <t>Captures Organisation information, data usage, and the associated legal agreements. Required for Phase 1A</t>
  </si>
  <si>
    <t>This section assesses the technical and integration architecture, and highlights any risks or issues. Required for Phase 2</t>
  </si>
  <si>
    <t>This section considers the IG implications of the new interface - assessing the Controls in place against the Business Scenario.  Required for Phase 2</t>
  </si>
  <si>
    <t>This section assesses whether there may be clinical safety implications of the new interface.  Required for Phase 2</t>
  </si>
  <si>
    <t>This section ensures the correct Service Management processes are in place to assist the deployment and maintenance once the application is deployed in to the live environment.  Required for Phase 2</t>
  </si>
  <si>
    <t>End User Organisation</t>
  </si>
  <si>
    <t>End User Policy Signatory</t>
  </si>
  <si>
    <t>NHS Digital Assurance contact</t>
  </si>
  <si>
    <t>Connection Agreement Signatory</t>
  </si>
  <si>
    <t>Fair Processing Notice (FPN) details</t>
  </si>
  <si>
    <r>
      <t>Are the guidelines for network access controls met?</t>
    </r>
    <r>
      <rPr>
        <i/>
        <sz val="10"/>
        <rFont val="Arial"/>
        <family val="2"/>
      </rPr>
      <t xml:space="preserve">
See https://nww.carecertisp.digital.nhs.uk/display/CC/NHS+Digital+Good+Practice+Guides
'Access Control Lists'/'Firewall Technologies'/'LAN Security'</t>
    </r>
  </si>
  <si>
    <r>
      <t xml:space="preserve">* </t>
    </r>
    <r>
      <rPr>
        <b/>
        <sz val="10"/>
        <rFont val="Arial"/>
        <family val="2"/>
      </rPr>
      <t>GUIDANCE</t>
    </r>
    <r>
      <rPr>
        <sz val="10"/>
        <rFont val="Arial"/>
        <family val="2"/>
      </rPr>
      <t xml:space="preserve">
The escalation and complaints process shall comply with the following principles:
- The party raising the Escalation or Complaint shall be kept informed of progress at an appropriate interval as agreed with the party raising the Escalation
- All Escalations and Complaints shall be managed to an appropriate conclusion with agreed remedial actions to prevent re-occurrence
- Escalations and Complaints shall not be closed without the agreement of the party that raised them
- Details of all Escalations and Complaints shall be retained on the audit trail for a period of two years
- Activity should be undertaken by the party against whom the Complaint was made in order to minimise the re-occurrence of the issues underlying reported Escalations and Complaints.
</t>
    </r>
  </si>
  <si>
    <t>Q4 Were any clinical safety issues identified by the technical clinical safety review performed in the "Architecture CL-01" section of this checklist?</t>
  </si>
  <si>
    <r>
      <t>Are workstations and servers adequately secured?</t>
    </r>
    <r>
      <rPr>
        <i/>
        <sz val="10"/>
        <rFont val="Arial"/>
        <family val="2"/>
      </rPr>
      <t xml:space="preserve">
See referenced guidance  from the National Institutes of Standards Technology (NIST) for more details</t>
    </r>
  </si>
  <si>
    <r>
      <t>Are the requirements for secure communications met?</t>
    </r>
    <r>
      <rPr>
        <i/>
        <sz val="10"/>
        <rFont val="Arial"/>
        <family val="2"/>
      </rPr>
      <t xml:space="preserve">
For example, encrypting data in transit
All data in transit must be encrypted using an approved cipher suite, in this instance TLS1.2. See approved Cryptographic Algorithms Document 
http://webarchive.nationalarchives.gov.uk/20161101131024/http://systems.digital.nhs.uk/infogov/security/infrasec/gpg </t>
    </r>
  </si>
  <si>
    <t>Shows the NHS Digital recognised topologies. One must be selected as part of the evaluation process. Required for Phase 1A</t>
  </si>
  <si>
    <t xml:space="preserve">Action By </t>
  </si>
  <si>
    <t xml:space="preserve">Actioned by </t>
  </si>
  <si>
    <t>Additional Notes/References</t>
  </si>
  <si>
    <t>Q5.1 As the client and where a Hazard log is provided by NHS Digital have you:
a) reviewed the Hazard log?
b) implemented appropriate local mitigations?
c) transferred the Hazards/Mitigations into the local business processes and accepted ownership of  residual risk(s)?</t>
  </si>
  <si>
    <t>Anticipated Go Live date for the  service with Commissioning Organisation users</t>
  </si>
  <si>
    <t>Anticipated Go Live date for the service with Commissioning Organisation users</t>
  </si>
  <si>
    <t>The usage and settings statement has been provisionally approved  - full approval will be sought through the IGARD process</t>
  </si>
  <si>
    <t>NHS e-Referral Service APIs - Target Operating Model (TOM) Self-Evaluation Checklist</t>
  </si>
  <si>
    <t>Paul Denton</t>
  </si>
  <si>
    <t>NHS e-RS Programme Manager</t>
  </si>
  <si>
    <t>Siouxsie Trenaman</t>
  </si>
  <si>
    <t>NHS e-RS Compliance Manager</t>
  </si>
  <si>
    <t>Tony Marsh</t>
  </si>
  <si>
    <t>NHS e-RS Project Manager</t>
  </si>
  <si>
    <t>Phil Nixon</t>
  </si>
  <si>
    <t>Andrew Blundell</t>
  </si>
  <si>
    <t>Jon Williams</t>
  </si>
  <si>
    <t>SA Test and Assurance Manager</t>
  </si>
  <si>
    <t>Phil Morton</t>
  </si>
  <si>
    <t>NHS e-RS Programme Head &amp; Information Asset Owner</t>
  </si>
  <si>
    <t>Stephen Miller</t>
  </si>
  <si>
    <t>NHS e-RS Programme Clinical Director</t>
  </si>
  <si>
    <t>Debbie Chinn</t>
  </si>
  <si>
    <t>Director of Solution Assurance</t>
  </si>
  <si>
    <t>Alastair Jepps</t>
  </si>
  <si>
    <t>Technical Architect</t>
  </si>
  <si>
    <t>ATOS Compliance Manual</t>
  </si>
  <si>
    <t>Head of Solution Assurance</t>
  </si>
  <si>
    <t>Head of Technical Support Services</t>
  </si>
  <si>
    <t>Senior Test and Assurance Manager</t>
  </si>
  <si>
    <t xml:space="preserve">The NHS e-RS Programme Head &amp; Information Asset Owner with overall accountability for the data. The assessment is for the usage and setting only and not for any other aspect of the TOM.
</t>
  </si>
  <si>
    <t>This is the e-RS API Technical conformance certificate number, for the version of the Client (End Product) indicated on the certificate.</t>
  </si>
  <si>
    <t>e-RS API Certificate Number</t>
  </si>
  <si>
    <t xml:space="preserve">Solution Assurance Team </t>
  </si>
  <si>
    <t>This section is the assessment of e-RS API consumer applications against the e-RS API requirements. Required for Phase 1B</t>
  </si>
  <si>
    <t>https://developer.nhs.uk/library/systems/e-rs/</t>
  </si>
  <si>
    <t>https://digital.nhs.uk/article/296/NHS-Business-Partners</t>
  </si>
  <si>
    <t xml:space="preserve">Process for Connecting to Core National NHS Systems </t>
  </si>
  <si>
    <t>Information Governance Toolkit</t>
  </si>
  <si>
    <t>https://www.igt.hscic.gov.uk/Home.aspx?tk=427985175981346&amp;cb=e0bf992f-dba9-4ad8-80b9-bf548428cf57&amp;lnv=7&amp;clnav=YES</t>
  </si>
  <si>
    <t>API Ecosystem on Developer Library</t>
  </si>
  <si>
    <t>Solution Supplier</t>
  </si>
  <si>
    <t>This section captures basic information about the e-RS API access request.  Used to determine the application type and approval route.</t>
  </si>
  <si>
    <t>Further guidance on this Section can be obtained from the Ecosystem on Developer Library</t>
  </si>
  <si>
    <t>Common Assurance Process (CAP) for Spine Integration or Interoperability Toolkit (ITK) conformance for Spine Mini Services Provider (SMSP) or e-RS Core Service</t>
  </si>
  <si>
    <t>NHS Business Partners mini-guide</t>
  </si>
  <si>
    <t>For minor changes, or changes which have no material impact on the process or risk profile, this will be validated only by the reviewers listed.</t>
  </si>
  <si>
    <t>Captures Solution Supplier information. Required for Phase 1A and 1B</t>
  </si>
  <si>
    <t>Organisation responsible for the deployment
Responsible for completing the relevant sections of the TOM, demonstrating compliance against the requirement set
Responsible for providing acceptance of the End Product (Phase 2)
Accountable for reviewing the content of the completed TOM and accepting any key risks, exclusions or mitigations (Phase 2)
May also be the Solution Supplier, if a client end product is being developed in-house
Organisation which will be the end user of the Solution Supplier's Consuming Product</t>
  </si>
  <si>
    <t>Organisation responsible for developing the product which will be used by the end user
Responsible for completing the relevant sections of the TOM, demonstrating the e-RS API Client compliance against the requirement set</t>
  </si>
  <si>
    <t>Technical conformance will provide basis for issuing the e-RS API Conformance Certificate to the Supplier and commencing e-RS API development.</t>
  </si>
  <si>
    <t>The Solution Assurance Test &amp; Assurance Team (e-RS Integration) is responsible for assuring the supplier e-RS API development.</t>
  </si>
  <si>
    <t>Once the TOM is approved by this approval panel it should be sent to the Solution Supplier to forward to  NHS Digital for audit purposes. This approval will be used as basis to proceed with the deployment of the Service.</t>
  </si>
  <si>
    <t xml:space="preserve">I am authorised to accept my organisation’s responsibilities as set out in the TOM and End User Agreement Policy, having entered into contract with the Solution Supplier, approve use of the Service. I understand the TOM has been provided to assist my organisation in assuring the Service and there may be additional implications and risks to consider prior to acceptance. 
I confirm my organisation has assured itself and accepts its obligations and responsibilities (and any risks highlighted) as set out in the TOM  and End User Policy. 
</t>
  </si>
  <si>
    <t>This details key information about the Solution Supplier Topology</t>
  </si>
  <si>
    <t>Is the data persistent in the Supplier's system and can be accessed by the Solution Supplier as well as the End User Organisation?</t>
  </si>
  <si>
    <t>Step 2 - Solution Supplier Information</t>
  </si>
  <si>
    <t>This details the consuming e-RS API product.</t>
  </si>
  <si>
    <t>Spine Partial</t>
  </si>
  <si>
    <t>Ian Dugdale</t>
  </si>
  <si>
    <t>IO-05</t>
  </si>
  <si>
    <t>Deployment topology B (Aggregators) - Confirmation of Ready For Operations  and Volume and Performance Assessment</t>
  </si>
  <si>
    <t>Step 5 - Architecture</t>
  </si>
  <si>
    <t>Step 8 - Service Readiness</t>
  </si>
  <si>
    <r>
      <t xml:space="preserve">Assessment activity coverage provision
</t>
    </r>
    <r>
      <rPr>
        <i/>
        <sz val="10"/>
        <rFont val="Arial"/>
        <family val="2"/>
      </rPr>
      <t>Topics to cover include:
 - Define the level of  RFO assessment to be undertaken (applicable only to new infrastructure deployments)
 - Confirm the coverage of  Volume and  Performance assessment to be implemented.</t>
    </r>
  </si>
  <si>
    <t>Comments</t>
  </si>
  <si>
    <t>Document Reference</t>
  </si>
  <si>
    <t>Base 1</t>
  </si>
  <si>
    <t>Base 2</t>
  </si>
  <si>
    <t xml:space="preserve">Base 3 </t>
  </si>
  <si>
    <t>Base 4</t>
  </si>
  <si>
    <t>Base 5</t>
  </si>
  <si>
    <t>Demographics Technical Architect</t>
  </si>
  <si>
    <t>Supporting References</t>
  </si>
  <si>
    <t>This TOM references the following documents:</t>
  </si>
  <si>
    <t>If TOM version changes impact the risks on NHS Digital or Commisioning Organisation, or have a material impact on the process, approval will be sought from the senior approvers.</t>
  </si>
  <si>
    <t>The version history of this document:</t>
  </si>
  <si>
    <t>Document</t>
  </si>
  <si>
    <r>
      <t xml:space="preserve">*Please note the following colour coding conventions: </t>
    </r>
    <r>
      <rPr>
        <b/>
        <sz val="10"/>
        <color indexed="50"/>
        <rFont val="Arial"/>
        <family val="2"/>
      </rPr>
      <t>Green</t>
    </r>
    <r>
      <rPr>
        <sz val="10"/>
        <rFont val="Arial"/>
        <family val="2"/>
      </rPr>
      <t xml:space="preserve"> = End User Organisation; </t>
    </r>
    <r>
      <rPr>
        <b/>
        <sz val="10"/>
        <color indexed="10"/>
        <rFont val="Arial"/>
        <family val="2"/>
      </rPr>
      <t>Red</t>
    </r>
    <r>
      <rPr>
        <sz val="10"/>
        <rFont val="Arial"/>
        <family val="2"/>
      </rPr>
      <t xml:space="preserve"> = Solution Supplier; and, </t>
    </r>
    <r>
      <rPr>
        <b/>
        <sz val="10"/>
        <color indexed="30"/>
        <rFont val="Arial"/>
        <family val="2"/>
      </rPr>
      <t>Blue</t>
    </r>
    <r>
      <rPr>
        <sz val="10"/>
        <rFont val="Arial"/>
        <family val="2"/>
      </rPr>
      <t xml:space="preserve"> = NHS Digital.</t>
    </r>
  </si>
  <si>
    <t>Checklist Section</t>
  </si>
  <si>
    <r>
      <t>NHS Digital Contact Centre (NIC) Reference -</t>
    </r>
    <r>
      <rPr>
        <sz val="11"/>
        <rFont val="Arial"/>
        <family val="2"/>
      </rPr>
      <t xml:space="preserve"> please quote on all correspondence to NHS Digital.</t>
    </r>
  </si>
  <si>
    <t>The notes below provide guidance to those who will be completing the TOM:</t>
  </si>
  <si>
    <t>The table below outlines the roles and responsibilities for those who will either complete, review or approve the Target Operating Model (TOM):</t>
  </si>
  <si>
    <r>
      <t xml:space="preserve">Responsible for reviewing the relevant section of the TOM have been completed
Accountable for ensuring any key risks which stem from non-compliance against the Target Operating Model are highlighted to the End User Organisation
Responsible for ensuring guidance is provided to the End User Organisation and Solution Supplier for Target Operating Model completion
Provides approval for the Client to be deployed 
</t>
    </r>
    <r>
      <rPr>
        <sz val="10"/>
        <color indexed="8"/>
        <rFont val="Arial"/>
        <family val="2"/>
      </rPr>
      <t>Provides statement if technical conformance has been achieved</t>
    </r>
  </si>
  <si>
    <t>Phase 1B - Technical Conformance - Approved by NHS Digital</t>
  </si>
  <si>
    <t>Solution Supplier Stakeholders</t>
  </si>
  <si>
    <t>This section captures basic information about the Solution Supplier and the system consuming the data from the NHS e-Referral Service.</t>
  </si>
  <si>
    <t>Service  Contact</t>
  </si>
  <si>
    <t>User Information</t>
  </si>
  <si>
    <t>Key Dates</t>
  </si>
  <si>
    <t>User Base</t>
  </si>
  <si>
    <t>Overview Description</t>
  </si>
  <si>
    <t>Version and Configuration Details</t>
  </si>
  <si>
    <t>Is This Product Being Assessed</t>
  </si>
  <si>
    <t>Organisation Data Service (ODS) Code</t>
  </si>
  <si>
    <t>This section is for the Solution Suppliers and Deploying Care Organisation to articulate their implementation topology.</t>
  </si>
  <si>
    <t>Topology B represents the use care where a solution supplier product is deployed across multiple care organisations.</t>
  </si>
  <si>
    <t>Topology A represents a single implementation where by the solution supplier and care organisation are focused on a single product.</t>
  </si>
  <si>
    <t>Compliance Level</t>
  </si>
  <si>
    <t>Compliant</t>
  </si>
  <si>
    <t>Semi-compliant</t>
  </si>
  <si>
    <t>Non-compliant</t>
  </si>
  <si>
    <t>N/a</t>
  </si>
  <si>
    <t>Scrutiny Drop-down Lists and Definitions</t>
  </si>
  <si>
    <t>This IG checklist applies to all e-RS API client systems. It should be noted there exists additional client specific requirements detailed in the '9.X - e-RS API Reqs' worksheet.</t>
  </si>
  <si>
    <t>The information is to be submitted by the Supplier however it is anticipated input will be required from the End User Organisation to answer SR-1.</t>
  </si>
  <si>
    <t>Requirement</t>
  </si>
  <si>
    <t>Requirement Description / Help Text</t>
  </si>
  <si>
    <t>Activity Description / Help Text</t>
  </si>
  <si>
    <t>Test Reference - Matrix</t>
  </si>
  <si>
    <t>Any Semi-compliant or Non-compliance MUST be detailed.</t>
  </si>
  <si>
    <t>NHS Digital Scrutiny Organisation Assessment - Print on A4</t>
  </si>
  <si>
    <t>Assessment</t>
  </si>
  <si>
    <t>Assessment Text</t>
  </si>
  <si>
    <t>Implementation Details</t>
  </si>
  <si>
    <t>Client IGSoC Status - N3/HSCN Connections</t>
  </si>
  <si>
    <t>Please select …</t>
  </si>
  <si>
    <t>Gemma Lofthouse</t>
  </si>
  <si>
    <t>Service Operations Lead</t>
  </si>
  <si>
    <t>Zubeir Tai</t>
  </si>
  <si>
    <t>Development Manager</t>
  </si>
  <si>
    <t>A001-01</t>
  </si>
  <si>
    <t>Smartcard Access</t>
  </si>
  <si>
    <t xml:space="preserve">Secure access MUST be authenticated by means of a standardised NHS CRS Smartcard.
</t>
  </si>
  <si>
    <t>A001: Create Professional Session (POST)</t>
  </si>
  <si>
    <t>A001-02</t>
  </si>
  <si>
    <t>Authentication (SSB) Token</t>
  </si>
  <si>
    <t>An Authentication Token MUST be acquired from the Spine Security Broker using the Identity Agent</t>
  </si>
  <si>
    <t>Smartcard Governance</t>
  </si>
  <si>
    <t>Once the consumer system has successfully completed the NHS CRS log-in process, it SHOULD conform to the Spine session timeout, inactivity timeout and Smartcard removal requirements</t>
  </si>
  <si>
    <t>SSB Mechanisms</t>
  </si>
  <si>
    <t>API Call: Create Professional Session</t>
  </si>
  <si>
    <t>An API call to "Create Professional Session" MUST be made to begin a API User Session for a particular Professional User (identified by Smartcard), passing the Authentication Token.
A valid API request MUST include the following items:
• The ASID of the Accredited System;
• The "Common Name" of the Certificate issued to the Organisation, i.e. the FQDN (e.g. FQDN.cfh.nhs.uk)
• The HTTP method (or "verb"). (GET/POST/PUT/etc.);
• The Relative HTTP URL (i.e. the part after the domain and security module context. (e.g. "v1/ReferralRequest/$ers.fetchworklist")</t>
  </si>
  <si>
    <t>Security Artefacts</t>
  </si>
  <si>
    <t>The API Consumer System MUST hold the following Security Artefacts:
An API-specific End-Point certificate; and
An "ASID" (Accredited System ID).</t>
  </si>
  <si>
    <t>API Access is dependent on these factors, and access will be denied otherwise.</t>
  </si>
  <si>
    <t>Multiple ASIDs</t>
  </si>
  <si>
    <t>Error Messaging</t>
  </si>
  <si>
    <t>Failure Cases</t>
  </si>
  <si>
    <t>All failure cases must be presented to the user.</t>
  </si>
  <si>
    <t>A002: Professional Session Select Role (PUT)</t>
  </si>
  <si>
    <t>A002-01</t>
  </si>
  <si>
    <t>An API call to "Select Role" MUST be made to select the business function for the associated eRS Organisation.</t>
  </si>
  <si>
    <t>A002-02</t>
  </si>
  <si>
    <t>A003: Delete Professional Session (DELETE)</t>
  </si>
  <si>
    <t>A003-01</t>
  </si>
  <si>
    <t>Professional Session Expiry</t>
  </si>
  <si>
    <t>The consumer system MUST end an API User Session, if the Professional Session expires.</t>
  </si>
  <si>
    <t>A003-02</t>
  </si>
  <si>
    <t>Delete User Session</t>
  </si>
  <si>
    <t>The API Consumer System MUST make a call to delete the User Session once it has been finished with.</t>
  </si>
  <si>
    <t>A003-03</t>
  </si>
  <si>
    <t>Step 9.1 - NHS e-RS API Authentication &amp; Authorisation Requirements</t>
  </si>
  <si>
    <t>Step 9.2 - NHS e-RS API Reference Data Requirements</t>
  </si>
  <si>
    <t>A004: Retrieve Reference Data (GET)</t>
  </si>
  <si>
    <t>A004-01</t>
  </si>
  <si>
    <t>Valid User Session</t>
  </si>
  <si>
    <t>An API user Session MUST exist, and be valid to retrieve Reference Data. No further authorisation is required.</t>
  </si>
  <si>
    <t>A004-02</t>
  </si>
  <si>
    <t>API Call: Access Key</t>
  </si>
  <si>
    <t>A valid API request MUST include the Access Key.</t>
  </si>
  <si>
    <t>Step 9.3 - NHS e-RS API Clinical Referral Information Requirements</t>
  </si>
  <si>
    <t>A005: Retrieve Referral Request (GET)</t>
  </si>
  <si>
    <t>A005-01</t>
  </si>
  <si>
    <t>API User Session</t>
  </si>
  <si>
    <t>The session "owner" and "effective" Professional user and Business Functions only differ in an "on-behalf-of" case.</t>
  </si>
  <si>
    <t>A005-02</t>
  </si>
  <si>
    <t>API: Retrieve Request</t>
  </si>
  <si>
    <t>The API request MUST contain the Appointment Request (UBRN) to initiate the process.</t>
  </si>
  <si>
    <t>A006: Retrieve Attachment (GET)</t>
  </si>
  <si>
    <t>A006-01</t>
  </si>
  <si>
    <t>A006-02</t>
  </si>
  <si>
    <t>API: Clinical Attachment Retrieval Request</t>
  </si>
  <si>
    <t>A006-03</t>
  </si>
  <si>
    <t>API Call: MIME</t>
  </si>
  <si>
    <t>The HTTP call MUST either list no specific acceptable MIME type for the response, or MUST specify the actual MIME type of the Attachment as being acceptable.</t>
  </si>
  <si>
    <t>A007: Retrieve Clinical Information (GET)</t>
  </si>
  <si>
    <t>A007-01</t>
  </si>
  <si>
    <t>A007-02</t>
  </si>
  <si>
    <t>API: Retrieve Clinical Information</t>
  </si>
  <si>
    <t>A008: Retrieve Worklist (POST)</t>
  </si>
  <si>
    <t>A008-01</t>
  </si>
  <si>
    <t>A008-02</t>
  </si>
  <si>
    <t>API: Retrieve List of Requests</t>
  </si>
  <si>
    <t>Supplier Implementation Reference</t>
  </si>
  <si>
    <t>GUIDANCE:
The Create Professional Session API (A001) creates a Professional Session in the Spine using smartcard roles, giving a secure login.
For all Business Functions (excluding Service Provider Clinician Admin (SPCA)), the API User Session creation is a two-staged process:
Stage 1 (Session Creation) &amp; Stage 2 (Role Selection)
For an SPCA role, there is an additional stage:
Stage 3 (Role Selection, SPCA Only)</t>
  </si>
  <si>
    <t xml:space="preserve">GUIDANCE:
The Professional Session Select Role API (A002) updates a Professional Session with the appropriate NHS organisation and role. This ensures the correct access rights for the user.
</t>
  </si>
  <si>
    <t xml:space="preserve">GUIDANCE:
The Delete Professional Session API (A003) logs out of the Professional Session and closes the dialogue.
</t>
  </si>
  <si>
    <t>GUIDANCE:
This API gets the referral request identified by the given ID. For each new referral, the supplier will be able to get key data attributes. External systems can show these in their system. The supplier can then see status and content header info.</t>
  </si>
  <si>
    <t xml:space="preserve">GUIDANCE:
This API lets suppliers retrieve and download linked files for a referral. Identify the file using both the request and attachment identifier.
</t>
  </si>
  <si>
    <t xml:space="preserve">GUIDANCE:
This API lets users create a real-time Portable Document Format (PDF) of the referral. Suppliers can find the Clinical Information for a referral request using a UBRN.
</t>
  </si>
  <si>
    <t xml:space="preserve">GUIDANCE:
This API lets authorised users retrieve the ‘Referrals for Review’ worklist. This work list gives details of new referrals sent to the service by referrers.
</t>
  </si>
  <si>
    <t>Author</t>
  </si>
  <si>
    <t>Version Description</t>
  </si>
  <si>
    <t>Date of Production</t>
  </si>
  <si>
    <t>Where Column A is marked 'PDS' the item is only mandatory if this TOM includes a PDS deployment</t>
  </si>
  <si>
    <t>PDS</t>
  </si>
  <si>
    <t>GPSoC IG Requirements V4</t>
  </si>
  <si>
    <t>Base 6</t>
  </si>
  <si>
    <t>A002-03</t>
  </si>
  <si>
    <t>A004-03</t>
  </si>
  <si>
    <t>A005-03</t>
  </si>
  <si>
    <t>A006-04</t>
  </si>
  <si>
    <t>A007-03</t>
  </si>
  <si>
    <t>A008-03</t>
  </si>
  <si>
    <t>GUIDANCE:
NHS e-RS holds a variety of “reference data” which are semi-permanent, enumerated values that are used to represent concepts and options within the application. To facilitate use of the API, a capability is made available to retrieve these sets of values.
This API retrieves a specific Value Set (Reference Dataset) by ID, currently limited to Specialty.
Only these Business Functions: Service Provider Clinician (SPC), Referring Clinician (RC) and Referring Clinician Admin (RCA), are able to retrieve Reference Data at the moment.</t>
  </si>
  <si>
    <r>
      <t xml:space="preserve">
</t>
    </r>
    <r>
      <rPr>
        <b/>
        <sz val="10"/>
        <rFont val="Arial"/>
        <family val="2"/>
      </rPr>
      <t>API Access Key: Failure</t>
    </r>
    <r>
      <rPr>
        <sz val="10"/>
        <rFont val="Arial"/>
        <family val="2"/>
      </rPr>
      <t xml:space="preserve">
If a Business Function other than Referring Clinician, Referring Clinician Admin or Service Provider Clinician is selected a NOT_AUTHORISED error will be returned.
If an unanticipated technical error occurs the HTTP Response code is 500 ("Internal Server Error") will be returned.</t>
    </r>
  </si>
  <si>
    <r>
      <t xml:space="preserve">The only retrievable reference data type required at present is Specialties (Access Key = SPECIALTY)
Upon successful verification of the Request API, the following values are returned:
• 'CodeValue'
• 'DisplayValue'
• 'AdditionalRepresentation'
• 'EffectiveDateRange'
Some types of Reference Data have a concept of "Effective Date Range" (defined as an optional Start Date and an optional End Date) as a per-code value and are only deemed to be effective if the current date is within this range. 
</t>
    </r>
    <r>
      <rPr>
        <b/>
        <sz val="10"/>
        <rFont val="Arial"/>
        <family val="2"/>
      </rPr>
      <t>API Access Key: Success</t>
    </r>
    <r>
      <rPr>
        <sz val="10"/>
        <rFont val="Arial"/>
        <family val="2"/>
      </rPr>
      <t xml:space="preserve">
API Reference Data retrieval will return codes that are not effective as well as effective ones.
</t>
    </r>
  </si>
  <si>
    <r>
      <rPr>
        <b/>
        <sz val="10"/>
        <rFont val="Arial"/>
        <family val="2"/>
      </rPr>
      <t>API Retrieve Request: Success</t>
    </r>
    <r>
      <rPr>
        <sz val="10"/>
        <rFont val="Arial"/>
      </rPr>
      <t xml:space="preserve">
Following successful validation, the following referral information will be returned:
• Referral ID (this is an internal system ID and is NOT that same as the UBRN);
• Service (ID and Name) returned if applicable;
• Specialty (of Service);
• Allocated Clinician (if applicable. An allocated clinician is only returned if the appointment slot has been specifically assigned to a user by the provider, on the PAS);
• Appointment Start Date &amp; Time (if there is a current appointment booking, or is marked as DNA);
• Appointment End Date &amp; Time;
• Request Priority;
• NHS Number;
• Clinical Information First Submitted Date/Time (the first submission from the referrer clinical Information related to the appointment request);
• Clinical Information Last Updated Date/Time (the last alteration date time from the referrer clinical information for the appointment request);
• Appointment Request Status (five possible states are: Incomplete, Unbooked, Booked, Cancelled, Requires Rebook &amp; Complete);
• Appointment Booking Status (three possible states: Booked, Cancelled and DNA);
• Related UBRNs (a list of other UBRNs on the same Pathway of the requested UBRN, if any)
A summary list of clinical attachments is also returned, including:
• Attachment ID;
• Attachment Type (whether it is referrer clinical attachment, provider clinical attachment, an advice request clinical attachment or a guidance response clinical attachment);
• File Name;
• File Size;
• Attachment Description (if entered by the user);
• Attached By;
• Attachment Date Time (when the attachment was added);
• File Format Type (e.g. PDF, DOC, PNG, etc.)
</t>
    </r>
    <r>
      <rPr>
        <b/>
        <sz val="10"/>
        <rFont val="Arial"/>
        <family val="2"/>
      </rPr>
      <t>API Return: Failure</t>
    </r>
    <r>
      <rPr>
        <sz val="10"/>
        <rFont val="Arial"/>
      </rPr>
      <t xml:space="preserve">
If validation fails an appropriate HTTP error code will be returned.</t>
    </r>
  </si>
  <si>
    <r>
      <rPr>
        <b/>
        <sz val="10"/>
        <rFont val="Arial"/>
        <family val="2"/>
      </rPr>
      <t>API Retrieve Request: Failure</t>
    </r>
    <r>
      <rPr>
        <sz val="10"/>
        <rFont val="Arial"/>
        <family val="2"/>
      </rPr>
      <t xml:space="preserve">
This following HTTP errors may be encountered for these scenarios:
• Invalid Request - The specified request does not exist, an outcome NO_SUCH_REQUEST will be returned;
• Invalid Request Type - The UBRN is not associated with an appointment request, an outcome of INVALID_REQUEST_TYPE is returned;
• Sensitive Patient - The Patient associated with the request is sensitive, an outcome of PATIENT_SENSITIVE will be returned;
• Invalid Relationship - The Professional User does not have a valid legitimate relationship with the patient, an outcome of NO_RELATIONSHIP will be returned;
• Incorrect Business Function - If the effective Business Function of the Professional User is NOT Referring Clinician, Referring Clinician Admin, or Service Provider Clinician, an outcome NOT_AUTHORISED will be returned;
• Unanticipated Technical Error Occurs - An outcome of TECHNICAL_ERROR will be returned.
</t>
    </r>
  </si>
  <si>
    <r>
      <rPr>
        <b/>
        <sz val="10"/>
        <rFont val="Arial"/>
        <family val="2"/>
      </rPr>
      <t>API Retrieve Attachment: Failure</t>
    </r>
    <r>
      <rPr>
        <sz val="10"/>
        <rFont val="Arial"/>
        <family val="2"/>
      </rPr>
      <t xml:space="preserve">
This following HTTP errors may be encountered for these scenarios:
• Invalid Request - The specified request does not exist, an outcome NO_SUCH_REQUEST will be returned;
• Invalid Request Type - The UBRN is not associated with an appointment request, an outcome of INVALID_REQUEST_TYPE is returned;
• Sensitive Patient - The Patient associated with the request is sensitive, an outcome of PATIENT_SENSITIVE will be returned;
• Invalid Relationship - The Professional User does not have a valid legitimate relationship with the patient, an outcome of NO_RELATIONSHIP will be returned;
• Invalid Attachment - An attachment with that attachment ID does not exist, an outcome NO_SUCH_ATTACHMENT will be returned;
• Invalid Attachment Request - The attachment associated with that request is not valid, an outcome of NO_SUCH_ATTACHMENT will be returned;
• Invalid Request State - The appointment request is in an unresolved (deferral) state, an outcome of INVALID_REQUEST_STATE will be returned;
• Incorrect Business Function - If the effective Business Function of the Professional User is NOT Referring Clinician, Referring Clinician Admin, or Service Provider Clinician, an outcome NOT_AUTHORISED will be returned;
• Unanticipated Technical Error Occurs - An outcome of TECHNICAL_ERROR will be returned.
</t>
    </r>
  </si>
  <si>
    <r>
      <rPr>
        <b/>
        <sz val="10"/>
        <rFont val="Arial"/>
        <family val="2"/>
      </rPr>
      <t>API Retrieve Clinical Information: Failure</t>
    </r>
    <r>
      <rPr>
        <sz val="10"/>
        <rFont val="Arial"/>
        <family val="2"/>
      </rPr>
      <t xml:space="preserve">
This following HTTP errors may be encountered for these scenarios:
• Invalid Request - The specified request does not exist, an outcome NO_SUCH_REQUEST will be returned;
• Invalid Request Type - The UBRN is not associated with an appointment request, an outcome of INVALID_REQUEST_TYPE is returned;
• Sensitive Patient - The Patient associated with the request is sensitive, an outcome of PATIENT_SENSITIVE will be returned;
• Invalid Relationship - The Professional User does not have a valid legitimate relationship with the patient, an outcome of NO_RELATIONSHIP will be returned;
• Invalid Request State - The appointment request is in an unresolved (deferral) state, an outcome of INVALID_REQUEST_STATE will be returned;
• No Clinical Info - The is no referrer clinical information associated with the request, and the request status must not be 'cancelled', an outcome of NO_CLINICAL_INFO will be returned;
• Incorrect Business Function - If the effective Business Function of the Professional User is NOT authorised to view the CRI, a HTTP response code 403 'Forbidden' will be returned;
• Unanticipated Technical Error Occurs - An outcome of TECHNICAL_ERROR will be returned.
</t>
    </r>
  </si>
  <si>
    <r>
      <rPr>
        <b/>
        <sz val="10"/>
        <rFont val="Arial"/>
        <family val="2"/>
      </rPr>
      <t>API Retrieve Clinical Information: Success</t>
    </r>
    <r>
      <rPr>
        <sz val="10"/>
        <rFont val="Arial"/>
      </rPr>
      <t xml:space="preserve">
Following successful validation, a binary stream of the generated PDF file will be returned.
</t>
    </r>
    <r>
      <rPr>
        <b/>
        <sz val="10"/>
        <rFont val="Arial"/>
        <family val="2"/>
      </rPr>
      <t/>
    </r>
  </si>
  <si>
    <r>
      <t xml:space="preserve">This API will validate the call, including any filter criteria to retrieve the list of applicable Referrals for Review. If no values are received for one or more of the optional fields, the system will interpret these values as 'Show All'.
Only Appointment Requests relating to Services for which the Professional User is a Workgroup member at the logged in e-RS Organisation are returned. And the only effective Business Functions that can perform a Retrieve Requests Ready for Review API call are Service Provider Clinician and Service Provider Administrator. 
</t>
    </r>
    <r>
      <rPr>
        <b/>
        <sz val="10"/>
        <rFont val="Arial"/>
        <family val="2"/>
      </rPr>
      <t xml:space="preserve">API Retrieve Worklist: Success
</t>
    </r>
    <r>
      <rPr>
        <sz val="10"/>
        <rFont val="Arial"/>
        <family val="2"/>
      </rPr>
      <t xml:space="preserve">Following successful validation, each returned entry will include:
• UBRN;
• Referral ID (internal ID, not the UBRN);
• Referral Received;
• Request Priority;
• Appointment Date Time;
• Clinicial Information First Submitted Date;
• Clinical Information Last Updated Date;
• Printing Complete Flag;
• Clinician;
• Specialty;
• Status.
IF zero results are returned, this will be indicated via the return message.
</t>
    </r>
    <r>
      <rPr>
        <b/>
        <sz val="10"/>
        <rFont val="Arial"/>
        <family val="2"/>
      </rPr>
      <t xml:space="preserve">API Return: Failure
</t>
    </r>
    <r>
      <rPr>
        <sz val="10"/>
        <rFont val="Arial"/>
        <family val="2"/>
      </rPr>
      <t xml:space="preserve">If validation fails an appropriate HTTP error code will be returned.
</t>
    </r>
  </si>
  <si>
    <t>Jason Brian</t>
  </si>
  <si>
    <t>Service Operations</t>
  </si>
  <si>
    <t>Nicola Young</t>
  </si>
  <si>
    <t>Nigel Saville</t>
  </si>
  <si>
    <t>Senior Test and Assurance Analyst</t>
  </si>
  <si>
    <t>Atos_Origin_Supplier_Master_Guide.pdf</t>
  </si>
  <si>
    <t>David Pool</t>
  </si>
  <si>
    <t>Test &amp; Assurance Manager</t>
  </si>
  <si>
    <t>Zahid Hayat</t>
  </si>
  <si>
    <t>Vicki Depledge</t>
  </si>
  <si>
    <t>Client IG Toolkit Compliance</t>
  </si>
  <si>
    <r>
      <t xml:space="preserve">Details of the IG Toolkit compliance status 
</t>
    </r>
    <r>
      <rPr>
        <i/>
        <sz val="10"/>
        <color indexed="9"/>
        <rFont val="Arial"/>
        <family val="2"/>
      </rPr>
      <t xml:space="preserve">(information can be found on the IG toolkit - </t>
    </r>
    <r>
      <rPr>
        <sz val="10"/>
        <color indexed="9"/>
        <rFont val="Arial"/>
        <family val="2"/>
      </rPr>
      <t xml:space="preserve">https://www.igt.hscic.gov.uk/ </t>
    </r>
    <r>
      <rPr>
        <i/>
        <sz val="10"/>
        <color indexed="9"/>
        <rFont val="Arial"/>
        <family val="2"/>
      </rPr>
      <t>)</t>
    </r>
  </si>
  <si>
    <t>Client IGSoC Compliance</t>
  </si>
  <si>
    <r>
      <t xml:space="preserve">Details of the IGSoC compliance status 
</t>
    </r>
    <r>
      <rPr>
        <i/>
        <sz val="10"/>
        <color indexed="9"/>
        <rFont val="Arial"/>
        <family val="2"/>
      </rPr>
      <t>(for information see  - https://digital.nhs.uk/health-social-care-network/new-to-hscn/connecting-to-HSCN#The HSCN Connection Agreement</t>
    </r>
    <r>
      <rPr>
        <sz val="10"/>
        <color indexed="9"/>
        <rFont val="Arial"/>
        <family val="2"/>
      </rPr>
      <t xml:space="preserve">/ </t>
    </r>
    <r>
      <rPr>
        <i/>
        <sz val="10"/>
        <color indexed="9"/>
        <rFont val="Arial"/>
        <family val="2"/>
      </rPr>
      <t>)</t>
    </r>
  </si>
  <si>
    <r>
      <t xml:space="preserve">Organisation Type </t>
    </r>
    <r>
      <rPr>
        <sz val="10"/>
        <rFont val="Arial"/>
        <family val="2"/>
      </rPr>
      <t>(if different from IGT Organisation Type)</t>
    </r>
  </si>
  <si>
    <t>Start date</t>
  </si>
  <si>
    <t>KEY FOR COMPLETION</t>
  </si>
  <si>
    <t>The colour key used throughout this document is:</t>
  </si>
  <si>
    <t>NHS Digital to complete</t>
  </si>
  <si>
    <t>Supplier to complete</t>
  </si>
  <si>
    <t>End User organisation to complete</t>
  </si>
  <si>
    <t>Supplier/End User collaborate to complete</t>
  </si>
  <si>
    <t>Where a non-standard technical implementation mechanism is proposed then the checklist will highlight the need for further review and risk assessment by the End User Organisation's Senior Information Risk Owner (SIRO).</t>
  </si>
  <si>
    <t xml:space="preserve">This section relates to identifying the type of business scenario which the interface will support. 
This is because different business scenarios will require different levels of IG controls.
Answer "Yes" or "No" to indicate whether each of the business scenarios in the list below apply to the interface
</t>
  </si>
  <si>
    <t>Demographic Update</t>
  </si>
  <si>
    <t>Clinical Query</t>
  </si>
  <si>
    <t>Clinical data is queried under the control of the receiving system</t>
  </si>
  <si>
    <t>Clinical Update</t>
  </si>
  <si>
    <t>CP-IS Query</t>
  </si>
  <si>
    <t>CP-IS Update</t>
  </si>
  <si>
    <t>V&amp;M Query</t>
  </si>
  <si>
    <t>V&amp;M Update</t>
  </si>
  <si>
    <t>V&amp;M data is updated via the interface</t>
  </si>
  <si>
    <t>FGM RIS Query</t>
  </si>
  <si>
    <t>FGM RIS Update</t>
  </si>
  <si>
    <r>
      <t>Is a formal Information Security Management System in place?</t>
    </r>
    <r>
      <rPr>
        <i/>
        <sz val="10"/>
        <rFont val="Arial"/>
        <family val="2"/>
      </rPr>
      <t xml:space="preserve">
An Information Security Management System (ISMS) is defined as that part of the overall management system, based on a business risk approach, to establish, implement, operate, monitor, review, maintain and improve information security. 
BS EN ISO/IEC 27001:2017 is the relevant standard</t>
    </r>
  </si>
  <si>
    <t>IG Controls (Clinical)</t>
  </si>
  <si>
    <t>These IG controls are only applicable for systems handling patient identifiable clinical data (Answer n/a if not applicable)</t>
  </si>
  <si>
    <t>Legitimate Relationships (LR)</t>
  </si>
  <si>
    <t>IG Controls (Clinical Cross Organisation)</t>
  </si>
  <si>
    <t>These IG Controls are only applicable for systems passing patient identifiable clinical data across organisational boundaries (Answer n/a if not applicable)</t>
  </si>
  <si>
    <t>DCR Consent to Share</t>
  </si>
  <si>
    <t>Demographic Feed</t>
  </si>
  <si>
    <t>Clinical Feed</t>
  </si>
  <si>
    <t>Clinical Cross Organisation</t>
  </si>
  <si>
    <t>CP-IS Feed</t>
  </si>
  <si>
    <t>CP-IS Cross Organisation</t>
  </si>
  <si>
    <t>V&amp;M Feed</t>
  </si>
  <si>
    <t>V&amp;M Cross Organisation</t>
  </si>
  <si>
    <t>FGM RIS Feed</t>
  </si>
  <si>
    <t>FGM RIS Cross Organisation</t>
  </si>
  <si>
    <t>Dependant on the clinical setting of your Health IT system, this section must be completed or have input from either;
- a Clinical Safety Officer or suitably trained and experienced clinicians
- a Social Care Professional, registered by the General Social Care Council 
and MUST be signed off as indicated in the Additional Stakeholder Involvement section below.</t>
  </si>
  <si>
    <t>Clinical safety signoff requirements are determined below on completing questions 1 to 5, there are five possible outcomes;
   1. None Required 
   2. Local Only (Non Clinical)
   3. Local Only (Clinical Safety Related) SCCI0129 / SCCI0160 needs to be applied
   4. NHS Digital Clinical Safety Group Assistance Required 
   5. The System falls under the category of a Medical Device and guidance should be sought from the MHRA 
If further guidance is needed then the NHS Digital Clinical Safety Group may be contacted on clinical.safety@nhs.net</t>
  </si>
  <si>
    <t xml:space="preserve">
For Deployment topology B (Aggregators) - the Deploying Organisation is expected to provide details of level and coverage of the Ready for Operations (applicable to new implementations) and Volume and Performance assessment (testing) they will look to implement to support IO-01 and IO-04 requirments</t>
  </si>
  <si>
    <t>This section assesses the application against the published set of Target Operating Model NHS e-RS API requirements</t>
  </si>
  <si>
    <t>The requirements may be satisfied by a combination of Solution Supplier and End User Organisations design and implementation activity.</t>
  </si>
  <si>
    <t>An Organisation that uses an API MAY have more than one ASID, each for a different deployed instance of an assured system.</t>
  </si>
  <si>
    <t>An API call to "Select Role" MUST be made to select the business function for the associated eRS Organisation. If the role selected during this stage is a Service Provider Clinician Admin, the assured system MUST make an additional call to pass the UUID of an SPC (from the returned list), completing the authentication process.</t>
  </si>
  <si>
    <r>
      <t xml:space="preserve">The Referral ID is NOT the same as the UBRN, it is a unique internal system identifier.
The Attachment ID is an identifier that uniquely identifies an Attachment across all Organisations and all Requests. It will have been received previously via A005: Retrieve Referral Request API
</t>
    </r>
    <r>
      <rPr>
        <b/>
        <sz val="10"/>
        <rFont val="Arial"/>
        <family val="2"/>
      </rPr>
      <t xml:space="preserve">API Retrieve Attachment: Success
</t>
    </r>
    <r>
      <rPr>
        <sz val="10"/>
        <rFont val="Arial"/>
        <family val="2"/>
      </rPr>
      <t xml:space="preserve">Upon successful validation of the API call, a binary stream of the file content will be sent. The format remains the same as it was when uploaded originally.
</t>
    </r>
  </si>
  <si>
    <t xml:space="preserve">The list supplied has one or more acceptable MIME types and if the actual MIME type of the Attachment isn't among them, the error should say invalid MIME type or MIME type not acceptable. </t>
  </si>
  <si>
    <t>Referrer Systems are responsible for meeting IG requirements for the creation of Legitimate Relationships in the LRS between the patient and the Referrer, prior to invoking e-RS.</t>
  </si>
  <si>
    <t>Service Provider systems must not rely on e-RS creating or terminating a legitimate relationship with the organisation or workgroup</t>
  </si>
  <si>
    <t>This section assesses the application against the published set of Target Operating Model NHS e-RS API pre-requisites</t>
  </si>
  <si>
    <t>The API request MUST contain:
(1) The Referral ID (internal to e-RS, not the UBRN) and the
(2) Attachment ID
to initiate the retrieval process.</t>
  </si>
  <si>
    <t>In scenarios where the user fails to authenticate (because of the reasons listed below), an appropriate message detailing the error must be presented so that they are able to diagnose and solve the problem.
Failure cases include:
• Invalid Authentication Token (HTTP Error Code '403');</t>
  </si>
  <si>
    <t>Senior Technical Architect</t>
  </si>
  <si>
    <t>Alek Radjenovic</t>
  </si>
  <si>
    <t>Senior Business Analyst</t>
  </si>
  <si>
    <t>The "Select Role" API re-verifies that this e-RS Organisation/Business Function pair is valid for the Professional User.
A valid API User Session is established, and the Session ID is passed to the assured system.
API User Session: Success
Upon successful completion of the API user session, a Session ID and success code (200 - OK) are returned to the assured system. This converts the Provisional API User Session to a valid API User Session.</t>
  </si>
  <si>
    <t>For an API User Session to be established for an SPCA, a suitable Service Provider Clinician (SPC) must be nominated on whose behalf the SPCA is acting.
If the intended Business Function for the API User Session is SPCA, the API returns a list of suitable SPCs (UUIDs) that the SPCA can act on-behalf-of.
API User Session: Success
Upon successful completion of the API user session, a Session ID and success code (200 - OK) are returned to the assured system. This converts the Provisional API User Session to a valid API User Session.</t>
  </si>
  <si>
    <t>In scenarios where the user fails to select a role (because of the reasons listed below), an appropriate message detailing the error must be presented so that they are able to diagnose and solve the problem.
API User Session: Failure
The following HTTP errors may be encountered for various scenarios:
• No eRS Roles Available (HTTP Error Code '201');
• Invalid eRS Org/Business Function Selected (HTTP Error Code '403');
• Calls are not made in the correct order (HTTP Error Code '403');
• Call made when a Role Profile has already been selected (HTTP Error Code '400');
• No On-behalf of UUID (HTTP Error Code '403');
• Invalid On-behalf of UUID (HTTP Error Code '403');
• On-behalf of UUID not at same organisation (HTTP Error Code '403');
• On-behalf of UUID not an SPC (HTTP Error Code '403');
• On-behalf of UUID does not share a common service (HTTP Error Code '403');
• Establishment not completed (HTTP Error Code '403');
• Unnecessary SPCA call made after successful establishment of non-SPCA call (HTTP Error Code '400');</t>
  </si>
  <si>
    <t>No further API calls using that session will be recognised by the system.
API Delete User Session: Success
Upon successful deletion, a success code (204) without body content will be returned to the assured system.</t>
  </si>
  <si>
    <t>An API user session is currently dependent on a core Professional Session.
If the Professional Session expires the API Session will also expire without any notification being sent to the user.</t>
  </si>
  <si>
    <r>
      <t xml:space="preserve">A valid user session MUST be present, with the following for the logged-in user:
• A session owner Professional User (by UUID); </t>
    </r>
    <r>
      <rPr>
        <sz val="10"/>
        <color theme="9" tint="-0.249977111117893"/>
        <rFont val="Arial"/>
        <family val="2"/>
      </rPr>
      <t xml:space="preserve">
</t>
    </r>
    <r>
      <rPr>
        <sz val="10"/>
        <rFont val="Arial"/>
        <family val="2"/>
      </rPr>
      <t xml:space="preserve">• A session owner Business Function (Role), e.g. Service Provider Clinician Admin; </t>
    </r>
    <r>
      <rPr>
        <sz val="10"/>
        <rFont val="Arial"/>
        <family val="2"/>
      </rPr>
      <t xml:space="preserve">
• An effective Professional User (by UUID);
• An effective Business Function (Role), e.g. Service Provider Clinician;
• An e-RS Organisation
</t>
    </r>
  </si>
  <si>
    <t xml:space="preserve">A valid user session MUST be present, with the following for the logged-in user:
• A session owner Professional User (by UUID);
• A session owner Business Function (Role), e.g. Service Provider Clinician Admin;
• An effective Professional User (by UUID);
• An effective Business Function (Role), e.g. Service Provider Clinician;
• An e-RS Organisation
</t>
  </si>
  <si>
    <r>
      <t xml:space="preserve">A valid user session MUST be present, with the following for the logged-in user:
• A session owner Professional User (by UUID);
• A session owner Business Function (Role), e.g. Service Provider Clinician Admin; </t>
    </r>
    <r>
      <rPr>
        <sz val="10"/>
        <rFont val="Arial"/>
        <family val="2"/>
      </rPr>
      <t xml:space="preserve">
• An effective Professional User (by UUID);
• An effective Business Function (Role), e.g. Service Provider Clinician;
• An e-RS Organisation
</t>
    </r>
  </si>
  <si>
    <t xml:space="preserve">The API request MUST contain the Worklist Type (currently the only worklist which will be retrievable is 'Referrals for Review'. Others will be made available in future releases).
It MAY also contain the following if filters are required to act upon the worklist:
• Service ID;
• Specialty Assigned; 
• Specialty; (If Specialty Assigned is set to "Assigned" then Specialty is Mandatory)
• Service Location (ODS code);
• Clinician Assigned 
• Clinician; (If Clinician Assigned is set to 'Assigned', then Clinician is mandatory);
</t>
  </si>
  <si>
    <r>
      <rPr>
        <b/>
        <sz val="10"/>
        <rFont val="Arial"/>
        <family val="2"/>
      </rPr>
      <t>API Retrieve Worklist: Failure</t>
    </r>
    <r>
      <rPr>
        <sz val="10"/>
        <rFont val="Arial"/>
        <family val="2"/>
      </rPr>
      <t xml:space="preserve">
This following HTTP errors may be encountered for these scenarios:
• Value Not Provided - Either the Specialty or Clinician field has not been provided, an outcome of MISSING_VALUE is returned;
• Not Assigned - The Specialty and Clinician fields have been provided, but the values have not been assigned, an outcome of UNEXPECTED_FIELD is returned;
• Invalid Service - The service provider does not exist on eRS, an outcome of NO_SUCH_SERVICE is returned;
• Invalid Location - The location does not match a service location in eRS, an outcome of NO_LOCATION is returned;
• Invalid Specialty - The specialty provided is not part of eRS reference data, an outcome of NO_SUCH_SPECIALTY is returned;
• Invalid Clinician - The clinician provided is not a professional user in eRS, an outcome of NO_SUCH_CLINICIAN is returned;
• Not Assigned - The specialty assigned value is not assigned, an outcome of INVALID_VALUE is returned;
• Invalid Relationship - The professional user must be associated to the Service, the Location and the Specialty (if provided), by current workgroup membership at the same eRS organisation that the 'owner' professional user is logged-in under. An outcome of NO_RELATIONSHIP will be returned;
• Incorrect Business Function - If the effective Business Function of the Professional User in the API User Session is not Service Provider Clinician or Service Provider Administrator; an OutcomeKey of NOT_AUTHORISED is returned; 
• An Unanticipated Technical Error Occurs - An outcome of TECHNICAL_ERROR will be returned.
</t>
    </r>
  </si>
  <si>
    <t>Senior Service Manager</t>
  </si>
  <si>
    <t>Mark Stangroom</t>
  </si>
  <si>
    <t xml:space="preserve">1. General Requirements </t>
  </si>
  <si>
    <t>Requirement is applicable only to referring systems</t>
  </si>
  <si>
    <t>LR-001</t>
  </si>
  <si>
    <t>LR-002</t>
  </si>
  <si>
    <t>GR-001</t>
  </si>
  <si>
    <t>Upon successful professional session creation, a success code (201) with a list of e-RS Organisation/Business Function pairs available to that Professional User will be returned to the assured system.</t>
  </si>
  <si>
    <t>The data received was malformed (e.g. missing/incorrect fields)</t>
  </si>
  <si>
    <t>Error: 400 (Bad Request)</t>
  </si>
  <si>
    <t>Report the error to local service desk</t>
  </si>
  <si>
    <t>The requested resource (e.g. A UBRN, NHSNumber, Attachment, Lock etc does not exist and cannot be returned)</t>
  </si>
  <si>
    <t>Error: 404 (Resource not found)</t>
  </si>
  <si>
    <t>The logged in user is not authorised to perform the requested action (e.g. due to their business function not being authorised, organisation not having the appropriate organisation role, legitimate relationship, referrer rights etc)</t>
  </si>
  <si>
    <t>Check the search term entered was correct</t>
  </si>
  <si>
    <t>An attempt was made to call an e-RS internal API using an HTTP method that the API does not support (e.g. sending a POST request to create data to a read-only endpoint that only supports GET)</t>
  </si>
  <si>
    <t>An attempt was made to update an out-of-date version of some data (i.e. optimistic locking error). Often caused by another user simultaneously editing the same record</t>
  </si>
  <si>
    <t>Reload the data, re-enter your changes, and try again</t>
  </si>
  <si>
    <t>An attempt was made to retrieve/update data that no longer exists (e.g. it did exist but has since been deleted)</t>
  </si>
  <si>
    <t>A business rule assertion was violated (e.g. a search that is only expected to return a single entry such as find patient by NHS Number, returned multiple results)</t>
  </si>
  <si>
    <t>Reload the data and try again, if the issue persists report to local service desk</t>
  </si>
  <si>
    <t>The data received failed validation and could not be processed (e.g. data to update/create or a search query)</t>
  </si>
  <si>
    <t>An unexpected internal server error occurred</t>
  </si>
  <si>
    <t>Reload (relogin if necessary) and try again, if issue persists report to local service desk</t>
  </si>
  <si>
    <t>An error occurred communicating with a gateway service (e.g. PDS, SDS, PAS etc)</t>
  </si>
  <si>
    <t>The gateway did not receive a timely response from the upstream server (e.g. PDS, SDS, PAS etc)</t>
  </si>
  <si>
    <t>Error: 403 (Forbidden)</t>
  </si>
  <si>
    <t>Error: 405 (Method not allowed)</t>
  </si>
  <si>
    <t>Error: 409 (Conflict)</t>
  </si>
  <si>
    <t>Error: 410 (Resource Gone)</t>
  </si>
  <si>
    <t>Error: 412 (Precondition failed)</t>
  </si>
  <si>
    <t>Error: 416 (Page not in range)</t>
  </si>
  <si>
    <t>Error: 422 (Unprocessable entity)</t>
  </si>
  <si>
    <t>Error: 500 (Internal server error)</t>
  </si>
  <si>
    <t>Error: 502 (Bad gateway)</t>
  </si>
  <si>
    <t>Error: 504 (Gateway timeout)</t>
  </si>
  <si>
    <t>The following error messages returned from e-RS must be logged in the Supplier system, for auditing, test and analysis purposes.</t>
  </si>
  <si>
    <t>In scenarios where the user encounters errors, an appropriate message detailing the error must be presented to the user so that a corrective action can be taken. Example messages are detailed below.</t>
  </si>
  <si>
    <t>The consumer system MUST ‘listen’ for SAML Token events, and shall integrate with Spine Security Broker mechanisms for notification of:
• Session Timeout
• Inactivity Timeout
• Smartcard Removal</t>
  </si>
  <si>
    <t>The Spine Security Broker (SSB) SAMLTokenListener interface provides a
mechanism for applications that need notification when an SAML token expires. The
token will expire if it reaches its maximum session time, or maximum idle time, or if
an administrator terminates the session.</t>
  </si>
  <si>
    <t>Infrastructure architecture connotes the architecture of the low level hardware, networks, and system software (sometimes called "middleware") that supports the applications software and business systems of an enterprise.</t>
  </si>
  <si>
    <t>Security Architecture is the design artifacts that describe how the security controls (= security countermeasures) are positioned and how they relate to the overall systems architecture. These controls serve the purpose to maintain the system's quality attributes such as confidentiality, integrity and availability.</t>
  </si>
  <si>
    <t>Diagram indicating service delivery, service support, Risk management, Security, &amp; Operations Whichever elements are pertinent to the supplier solution.
See here for example:
https://www.linkedin.com/pulse/why-operations-architecture-sarthak-banerjee/</t>
  </si>
  <si>
    <t>The Data architecture view deals with the architecture of the storage, retrieval, processing, archiving, and security of data. It looks at the flow of data as it is stored and processed, and at what components will be required to support and manage both storage and processing.</t>
  </si>
  <si>
    <t>Network Architecture diagrams visualize the computer networks topology and equipment connections and arrangement. Used to visually document the architecture of computer and telecommunication networks</t>
  </si>
  <si>
    <t>Sequence / Activity Diagrams</t>
  </si>
  <si>
    <t xml:space="preserve">Throttling </t>
  </si>
  <si>
    <t>Overall diagram to depict the top level design of the supplier solution.</t>
  </si>
  <si>
    <t>The Client supplier must demonstrate ability to throttle their (batch) solution per [api endpoint] to limit X connections (X to be agreed with Programme)</t>
  </si>
  <si>
    <t>Architecture Collateral</t>
  </si>
  <si>
    <t>IO-06</t>
  </si>
  <si>
    <t>AC-01</t>
  </si>
  <si>
    <t>AC-02</t>
  </si>
  <si>
    <t>AC-03</t>
  </si>
  <si>
    <t>AC-04</t>
  </si>
  <si>
    <t>AC-05</t>
  </si>
  <si>
    <t>AC-06</t>
  </si>
  <si>
    <t>AC-07</t>
  </si>
  <si>
    <t xml:space="preserve">These should be included for all business flows, including exception handling.
Activity diagram depict the control flow from one activity to another, conditional structures, loops, concurrency, and exceptions.
Sequence diagram depict the sequence of messages flow from one object to another, how their messages/events are exchanged in what time-order.
</t>
  </si>
  <si>
    <t>Training</t>
  </si>
  <si>
    <t>…...on behalf of the Client Supplier and End User Organisation</t>
  </si>
  <si>
    <r>
      <t>Are there adequate controls of data in storage?</t>
    </r>
    <r>
      <rPr>
        <i/>
        <sz val="10"/>
        <rFont val="Arial"/>
        <family val="2"/>
      </rPr>
      <t xml:space="preserve">
For example are storage devices (e.g. File system, Database) encrypted at rest and / or located in a secure area?
See approved Cryptographic Algorithms Document http://webarchive.nationalarchives.gov.uk/20161101131024/
http://systems.digital.nhs.uk/infogov/security/infrasec/gpg
Guidance provided by NCSC here
https://www.ncsc.gov.uk/guidance/b3-data-security </t>
    </r>
  </si>
  <si>
    <t>Outline any key dates relevant to the self-assessment process (e.g. target Go-Live dates.</t>
  </si>
  <si>
    <t>GR-002</t>
  </si>
  <si>
    <t>ATP achieved to proceed with formal Assurance process</t>
  </si>
  <si>
    <t xml:space="preserve">2. General Technical Requirements </t>
  </si>
  <si>
    <t>GTR-001</t>
  </si>
  <si>
    <t>Data Dictionary</t>
  </si>
  <si>
    <t>GTR-002</t>
  </si>
  <si>
    <t>GTR-003</t>
  </si>
  <si>
    <t>FHIR Modelling</t>
  </si>
  <si>
    <t>SNOMED classification</t>
  </si>
  <si>
    <t>Implemented solution MUST have clinical terms based on appropriate SNOMED coding where required</t>
  </si>
  <si>
    <t>If a user is registered to NCRS with more than one role profile then an NCRS compliant system must ensure the user selects a role Profile for each application session</t>
  </si>
  <si>
    <t>Change Control</t>
  </si>
  <si>
    <t>GR-003</t>
  </si>
  <si>
    <t>The Deploying Organisation is responsible for managing Change Control activities in conjunction with the Supplier and NHS Digital</t>
  </si>
  <si>
    <t>Produce a process documentation to ensure Changes are undertaken appropriately</t>
  </si>
  <si>
    <t xml:space="preserve">3. Legitimate Relationships </t>
  </si>
  <si>
    <t>4. Authentication</t>
  </si>
  <si>
    <t>Multiple Role Profiles</t>
  </si>
  <si>
    <t>5. Security</t>
  </si>
  <si>
    <t>6. Error Messaging &amp; Handling</t>
  </si>
  <si>
    <t>AUT-001</t>
  </si>
  <si>
    <t>AUT-002</t>
  </si>
  <si>
    <t>AUT-003</t>
  </si>
  <si>
    <t>AUT-004</t>
  </si>
  <si>
    <t>AUT-005</t>
  </si>
  <si>
    <t>SEC-001</t>
  </si>
  <si>
    <t>SEC-002</t>
  </si>
  <si>
    <t>A request was made to retrieve a specific page of results that was out of the range of valid pages (e.g. when paging through appointment slots)</t>
  </si>
  <si>
    <t>Step 6 - Information Governance and Security</t>
  </si>
  <si>
    <t>Refer FHIR website at https://www.hl7.org/fhir/</t>
  </si>
  <si>
    <t>ERR-001</t>
  </si>
  <si>
    <t>ERR-002</t>
  </si>
  <si>
    <t>ERR-003</t>
  </si>
  <si>
    <t>ERR-004</t>
  </si>
  <si>
    <t>ERR-005</t>
  </si>
  <si>
    <t>ERR-006</t>
  </si>
  <si>
    <t>ERR-007</t>
  </si>
  <si>
    <t>ERR-008</t>
  </si>
  <si>
    <t>ERR-009</t>
  </si>
  <si>
    <t>ERR-010</t>
  </si>
  <si>
    <t>ERR-011</t>
  </si>
  <si>
    <t>ERR-012</t>
  </si>
  <si>
    <t>Sami Mohammed, Paul Denton, Zubeir Tai, Alastair Jepps</t>
  </si>
  <si>
    <t>1.0</t>
  </si>
  <si>
    <t>S. Mohammed</t>
  </si>
  <si>
    <t>V1.0</t>
  </si>
  <si>
    <t>New - Initial Pilot Release for Review</t>
  </si>
  <si>
    <t>ERR-000</t>
  </si>
  <si>
    <t>In scenarios where the user attempts to close either an unrecognised or invalid API User Session, an appropriate message detailing the error must be presented so that they are able to diagnose and solve the problem.
API Delete User Session: Failure
A HTTP Response code 403 ("Forbidden") will be returned to the assured system.</t>
  </si>
  <si>
    <t>Record of self-certified statements and evidence mapped against each requirement.</t>
  </si>
  <si>
    <t>Author(s)</t>
  </si>
  <si>
    <t>This section details the individual who will assess the Usage and Settings information provided within the End User Organisation tab of this Target Operating Model. This assessment will provide basis for granting access to e-RS APIs.</t>
  </si>
  <si>
    <t>The assessement may require further action - please see the Section 'Outcome of Usage and Settings Statement'.</t>
  </si>
  <si>
    <t>Step 9 - NHS e-RS API Overarching Requirements</t>
  </si>
  <si>
    <t>Documents available from https://developer.nhs.uk/library/systems/e-rs/</t>
  </si>
  <si>
    <t>Documents signed and submitted to NHS Digital</t>
  </si>
  <si>
    <t>Exit Criteria from the e-RS/DEV1 Path-To-Live (PTL) environment has been achieved through prorotype elaboration, solution architecture definition, process documentation and approval from the assigned NHS Digital Assurance Manager</t>
  </si>
  <si>
    <t>Authority To Proceed (ATP) to Commence Formal Assurance</t>
  </si>
  <si>
    <t>Submission of Signed Connection Agreement and End User Organisation Policyn, inclusive of Ecoystsem-based Special Terms acknowledgement</t>
  </si>
  <si>
    <t xml:space="preserve">Implemented solutions MUST confirm to NHS Digital, NHS e-RS Data Dictionary and Solution Reference Data coding and implement changes as and when required. </t>
  </si>
  <si>
    <t>References available from: https://developer.nhs.uk/library/systems/e-rs/</t>
  </si>
  <si>
    <t>Implemented solution MUST adhere to FHIR conformance principles and statements</t>
  </si>
  <si>
    <t>Available from https://www.snomed.org/ and https://isd.digital.nhs.uk/trud3</t>
  </si>
  <si>
    <t>Referrer Requirements</t>
  </si>
  <si>
    <t>Provider Requirements</t>
  </si>
  <si>
    <t>Requirement is applicable only to provider systems</t>
  </si>
  <si>
    <t xml:space="preserve">Existing NHS e-Referral Service Compliance </t>
  </si>
  <si>
    <t>Topology and implemented architecture design</t>
  </si>
  <si>
    <t>HSCIC-FNT-TO-TAR-0223.01 IG Requirements V4 - 0.9.docx</t>
  </si>
  <si>
    <r>
      <t xml:space="preserve">Is an accurate time source in place? Servers must be time synchronised to an agreed NHS N3 NTP synchronized time server and use this time in messages and logs.
</t>
    </r>
    <r>
      <rPr>
        <i/>
        <sz val="10"/>
        <rFont val="Arial"/>
        <family val="2"/>
      </rPr>
      <t>Date and time between systems (e.g. for use in audit logs) should be synchronised within 250 milliseconds of the NASP-provided or National  Network Time Servers. These are sources of UTC time (known locally as GMT) which is the time that all message interactions MUST be time stamped with (i.e. message or API interaction creation time).</t>
    </r>
  </si>
  <si>
    <t>Acute Trust</t>
  </si>
  <si>
    <t>Ambulance Trust</t>
  </si>
  <si>
    <t>Any Qualified Provider - Clinical Services</t>
  </si>
  <si>
    <t>Any Qualified Provider - Non Clinical Services</t>
  </si>
  <si>
    <t>Commercial Third Party</t>
  </si>
  <si>
    <t>Commissioning Support Unit</t>
  </si>
  <si>
    <t>Community Health Provider</t>
  </si>
  <si>
    <t>Community Pharmacy/DAC</t>
  </si>
  <si>
    <t>Data Service for Commissioners</t>
  </si>
  <si>
    <t>Dental Practice</t>
  </si>
  <si>
    <t>Eye Care Service</t>
  </si>
  <si>
    <t>General Practice</t>
  </si>
  <si>
    <t>Hosted Secondary Use Team/Project</t>
  </si>
  <si>
    <t>Mental Health Trust</t>
  </si>
  <si>
    <t>NHS Business Partner/ITC/ALB</t>
  </si>
  <si>
    <t>NHS Business Services Authority</t>
  </si>
  <si>
    <t>NHS England</t>
  </si>
  <si>
    <t>Prison Health</t>
  </si>
  <si>
    <t>Public Health England</t>
  </si>
  <si>
    <t>Secondary Use Organisation</t>
  </si>
  <si>
    <t>Voluntary Sector Organisation</t>
  </si>
  <si>
    <t>NHS Digital Use Only - DO NOT EDIT</t>
  </si>
  <si>
    <t xml:space="preserve">System Security </t>
  </si>
  <si>
    <t>System Awareness</t>
  </si>
  <si>
    <t>1.1</t>
  </si>
  <si>
    <t>02/03/2018</t>
  </si>
  <si>
    <t>28/02/2018</t>
  </si>
  <si>
    <t>Greg Walker</t>
  </si>
  <si>
    <t>Gerry Monahan</t>
  </si>
  <si>
    <t>Assurance Analyst</t>
  </si>
  <si>
    <t>26/02/2018</t>
  </si>
  <si>
    <t xml:space="preserve">…...on behalf of the Client Supplier and End User Organisation </t>
  </si>
  <si>
    <r>
      <rPr>
        <b/>
        <i/>
        <sz val="10"/>
        <rFont val="Arial"/>
        <family val="2"/>
      </rPr>
      <t>Has a penetration test been completed and an action plan been developed to mitigate any vulnerabilities identified?</t>
    </r>
    <r>
      <rPr>
        <i/>
        <sz val="10"/>
        <rFont val="Arial"/>
        <family val="2"/>
      </rPr>
      <t xml:space="preserve">
</t>
    </r>
  </si>
  <si>
    <t>Review Comments from External Teams</t>
  </si>
  <si>
    <t>Also known as a Privacy Notice.  Provide a web link to your organisation's notice
Must be fully compliant with the guidance of  https://ico.org.uk/for-organisations/guide-to-data-protection/privacy-notices-transparency-and-control/ and Independent Group Advising on the Release of Data (IGARD).  Further information about the IGARD guidance will be provided.</t>
  </si>
  <si>
    <t>Select from list. For Mixed and Non-NHS staff explain in "Response" box.</t>
  </si>
  <si>
    <t>Outline how many End Points are going to be used for the deployment (i.e. single end point or multiple end points per deployment).</t>
  </si>
  <si>
    <t>Go Live Planning</t>
  </si>
  <si>
    <t>Data Quality Review</t>
  </si>
  <si>
    <t>Infrastructure View (Optional)</t>
  </si>
  <si>
    <t>Security Architecture</t>
  </si>
  <si>
    <t>Operations Architecture (Optional)</t>
  </si>
  <si>
    <t>Data Architecture</t>
  </si>
  <si>
    <t>Network Architecture (Optional)</t>
  </si>
  <si>
    <t>Solution Architecture</t>
  </si>
  <si>
    <t>V1.1</t>
  </si>
  <si>
    <t>The End User Organisations Executive with overall accountability for the project, this assessment, and any associated risks.</t>
  </si>
  <si>
    <t>The  End User Organisations Executive directly leading the project.</t>
  </si>
  <si>
    <t>The  End User Organisations project manager.</t>
  </si>
  <si>
    <t>Other project team members (Add lines and details as required).</t>
  </si>
  <si>
    <t>ICT Manager for the  End User Organisation(s) involved in the project.</t>
  </si>
  <si>
    <t>User representatives - e.g. for requirements and testing activities.</t>
  </si>
  <si>
    <t>The Senior Information Risk Owner responsible for signoff of IG related risks (Note: May be multiple individuals if several organisations are involved).</t>
  </si>
  <si>
    <t>The Clinical Safety Officer responsible for signoff of Clinical Safety related risks as defined by SCCI0160 Standard, mandated by NHS England (Note: May be multiple individuals if several organisations are involved).</t>
  </si>
  <si>
    <t>The individual that will be the recipient of the End User Policy for a signature.</t>
  </si>
  <si>
    <t>Supplier Name.</t>
  </si>
  <si>
    <t>The Supplier project manager.</t>
  </si>
  <si>
    <t>The technical contact / architect.</t>
  </si>
  <si>
    <t>The Executive sponsor / escalation point.</t>
  </si>
  <si>
    <t>The Clinical Safety Officer responsible for signoff of Clinical Safety related risks as defined by SCCI0129 Standard, mandated by NHS England (Note: May be multiple individuals if several organisations are involved).</t>
  </si>
  <si>
    <t>Depending on the assessment of clinical safety implications, may need to be used as an advice / escalation point for any Clinical Safety risks. (May be n/a if not involved).</t>
  </si>
  <si>
    <t>Will be used as an advice / escalation point for general impacts.</t>
  </si>
  <si>
    <t>Will advise on conformance in general.</t>
  </si>
  <si>
    <t>Will advise on programme specific details (e.g. training, support).</t>
  </si>
  <si>
    <t>Any other contacts relevant to the specific project - to be added as necessary.</t>
  </si>
  <si>
    <t>The product requesting and receiving data from the NHS e-RS API solution.</t>
  </si>
  <si>
    <t>The supplier of the product.</t>
  </si>
  <si>
    <t>If the product is already deployed further assessment of this product is not required.</t>
  </si>
  <si>
    <t>A single ODS code of the Solution Supplier or End User - see https://odsportal.hscic.gov.uk/.</t>
  </si>
  <si>
    <t>Where known and relevant, provide any further details about the product configuration (e.g. licensed APIs workflow suites, relevant parameter settings etc.).</t>
  </si>
  <si>
    <t>Yes or No. If the system has previously implemented this interface (e.g. at another End User Organisation) it would not be a first of type.If No, indicate organisation name.</t>
  </si>
  <si>
    <t>The score quoted below should be using the latest IGT version - an IGT assessment must be completed and published annually.</t>
  </si>
  <si>
    <t>Select best match from list.</t>
  </si>
  <si>
    <t>Date started IG Toolkit.</t>
  </si>
  <si>
    <t>Date IG Toolkit was published.</t>
  </si>
  <si>
    <t>IG Toolkit compliance grade; if relevant, provide details in "Response text".</t>
  </si>
  <si>
    <t>Date received IGSoC.</t>
  </si>
  <si>
    <t>Provide a brief introductory overview describing at a high level what the interface does and why it is being introduced e.g. screenshots, screencam of the application.</t>
  </si>
  <si>
    <t>Provide a description of how the data retrieved from Spine will be used e.g. displayed on a screen with the subject of the data in attendance, a batch job with no user interface.</t>
  </si>
  <si>
    <t>Describe by who and where the data will be held/stored e.g. on  End User Organisation servers, on servers .belonging to third party suppliers commissioned by an  End User Organisation to do work on behalf of the  End User Organisation</t>
  </si>
  <si>
    <t>Explain in broad terms who will be using the system (e.g. number of users, typical job roles e.g. social worker, doctor, pharmacist, administrator).</t>
  </si>
  <si>
    <t>Full name required.</t>
  </si>
  <si>
    <t>Direct dial number please.</t>
  </si>
  <si>
    <t>Provide role (not name), organisation and address.
Definition of a Data Controller can be found https://ico.org.uk/for-organisations/guide-to-data-protection/key-definitions/.</t>
  </si>
  <si>
    <t>Provide role (not name), organisation and address.
Definition of a Data Processor can be found https://ico.org.uk/for-organisations/guide-to-data-protection/key-definitions/.</t>
  </si>
  <si>
    <t>Provide a web link.</t>
  </si>
  <si>
    <t>For Spine Integrated systems and Spine Mini Service Provider (SMSP) only.</t>
  </si>
  <si>
    <t>Enter score in yellow box and description to the right (eg. "Not complete / Not satisfactory / Improvement / Satisfactory").</t>
  </si>
  <si>
    <t>Is the intention to use existing live end points or use new end points. 
If existing End Points are to be used confirm the relevant details here (inc ASID).</t>
  </si>
  <si>
    <t>.</t>
  </si>
  <si>
    <r>
      <t xml:space="preserve">Planning for checks that the system is operating correctly.
</t>
    </r>
    <r>
      <rPr>
        <i/>
        <sz val="10"/>
        <rFont val="Arial"/>
        <family val="2"/>
      </rPr>
      <t>Topics to cover include:
 - Audit
 - Journaling
 - Usability</t>
    </r>
  </si>
  <si>
    <t xml:space="preserve">To be completed by the Supplier to provide best-practice guidance to the End User Organisation </t>
  </si>
  <si>
    <t>Demographic data is queried under the control of the receiving system.</t>
  </si>
  <si>
    <t>Demographic data is updated via the interface.</t>
  </si>
  <si>
    <t>Clinical data is updated via the interface.</t>
  </si>
  <si>
    <t>CP-IS data is queried under the control of the receiving system.</t>
  </si>
  <si>
    <t>CP-IS data is updated via the interface.</t>
  </si>
  <si>
    <t>V&amp;M data is queried under the control of the receiving system.</t>
  </si>
  <si>
    <t>FGM RIS data is queried under the control of the receiving system.</t>
  </si>
  <si>
    <t>FGM RIS data is updated via the interface.</t>
  </si>
  <si>
    <t>Are there any downstream systems which have not passed this self-assessment process, and which act as a source of data for this system to update a Spine Compliant system?
If "yes", please provide details in Additional Notes.</t>
  </si>
  <si>
    <t>Are there any downstream systems which have not passed this self-assessment process, and to which this system passes patient-identifiable Spine originated data?
If "yes", please provide details in Additional Notes.</t>
  </si>
  <si>
    <t>Provide reference to documentation (e.g. diagram) showing the information flows to / from the system being assessed and other systems in the estate.
Specifically, the purpose is to highlight:
i) The potential ultimate destinations of any patient identifiable Spine-originated data passing through this system.
ii) The potential original sources of any data updates made to Spine via this system.</t>
  </si>
  <si>
    <r>
      <t>How is it ensured that patient consent is checked for any sharing of the Detailed Care Record (DCR) across organisational boundaries?</t>
    </r>
    <r>
      <rPr>
        <i/>
        <sz val="10"/>
        <rFont val="Arial"/>
        <family val="2"/>
      </rPr>
      <t xml:space="preserve">
Recognised mechanisms include:
 - National DCR Consent Check - checking against the DCR Consent Flag on Spine (PDS) before allowing sharing of clinical data across boundaries
 - Block sending externally - ensuring that clinical data is only shared within the same Trust
 - Referral Based Sharing - ensuring that clinical data is only shared in relation to directly supporting a referral 
</t>
    </r>
    <r>
      <rPr>
        <b/>
        <i/>
        <sz val="10"/>
        <rFont val="Arial"/>
        <family val="2"/>
      </rPr>
      <t xml:space="preserve">
</t>
    </r>
    <r>
      <rPr>
        <i/>
        <sz val="10"/>
        <rFont val="Arial"/>
        <family val="2"/>
      </rPr>
      <t>Please use "Additional Notes" to provide further details of the approach used.</t>
    </r>
  </si>
  <si>
    <r>
      <t xml:space="preserve">What mechanism is used to ensure that only clinicians with a legitimate relationship with a patient are able to access their clinical records?
</t>
    </r>
    <r>
      <rPr>
        <i/>
        <sz val="10"/>
        <rFont val="Arial"/>
        <family val="2"/>
      </rPr>
      <t>Recognised mechanisms include 
 - National LR checking
 - Locally Inferred LR (e.g. based on the clinician being a member of a relevant workgroup in the local system)
Please use "Additional Notes" to provide further details of the approach used.</t>
    </r>
  </si>
  <si>
    <r>
      <t>Is data retention provided, in line with NHS retention standards?</t>
    </r>
    <r>
      <rPr>
        <i/>
        <sz val="10"/>
        <rFont val="Arial"/>
        <family val="2"/>
      </rPr>
      <t xml:space="preserve">
See https://digital.nhs.uk/codes-of-practice-handling-information for more details of minimum retention periods for different data types.</t>
    </r>
  </si>
  <si>
    <r>
      <t xml:space="preserve">Is a full audit trail provided?
</t>
    </r>
    <r>
      <rPr>
        <i/>
        <sz val="10"/>
        <rFont val="Arial"/>
        <family val="2"/>
      </rPr>
      <t>See “Audit Requirements - v3.0” (within downloadable 'Requirements Pack') for details which MUST be complied with: https://developer.nhs.uk/library/systems/e-rs/.</t>
    </r>
    <r>
      <rPr>
        <b/>
        <i/>
        <sz val="10"/>
        <rFont val="Arial"/>
        <family val="2"/>
      </rPr>
      <t xml:space="preserve">
</t>
    </r>
  </si>
  <si>
    <t>Demographic data is transmitted downstream under the control of the sending system.</t>
  </si>
  <si>
    <t>Demographic data is queried by a downstream application under the control of the receiving system.</t>
  </si>
  <si>
    <t>Demographic data is transmitted across organisational (e.g. Trust) boundaries.</t>
  </si>
  <si>
    <t>Clinical data is queried by a downstream application under the control of the receiving system.</t>
  </si>
  <si>
    <t>Clinical data is transmitted downstream under the control of the sending system.</t>
  </si>
  <si>
    <t>CP-IS data is transmitted across organisational (e.g. Trust) boundaries.</t>
  </si>
  <si>
    <t>CP-IS data is transmitted downstream under the control of the sending system.</t>
  </si>
  <si>
    <t>CP-IS data is queried by a downstream application under the control of the receiving system.</t>
  </si>
  <si>
    <t>Clinical data is transmitted across organisational (e.g. Trust) boundaries.</t>
  </si>
  <si>
    <t>V&amp;M data is transmitted downstream under the control of the sending system.</t>
  </si>
  <si>
    <t>V&amp;M data is queried by a downstream application under the control of the receiving system.</t>
  </si>
  <si>
    <t>V&amp;M data is transmitted across organisational (e.g. Trust) boundaries.</t>
  </si>
  <si>
    <t>FGM RIS data is transmitted downstream under the control of the sending system.</t>
  </si>
  <si>
    <t>FGM RIS data is queried by a downstream application under the control of the receiving system.</t>
  </si>
  <si>
    <t>FGM RIS data is transmitted across organisational (e.g. Trust) boundaries.</t>
  </si>
  <si>
    <t>Could this interface potentially have an impact on data belonging to other Health Organisations? (e.g. shared PAS instance).</t>
  </si>
  <si>
    <t>Staff have appropriate awareness, knowledge and skills to carry out their organisational roles effectively in relation to the security of network and information systems supporting the delivery of essential services.
https://www.ncsc.gov.uk/guidance/b6-staff-awareness-and-training.</t>
  </si>
  <si>
    <t>System users have been trained in relevant local system and API integration and that the supplier has produced adequate training and guidance materials for them to do so.</t>
  </si>
  <si>
    <t>Spine Impacted?</t>
  </si>
  <si>
    <t>Q1 Is your system a Medical Device or eligible to be a Medical Device? 
Output: If the answer is ‘No’ further safety assurance work may be required. Continue to Q2 If the answer is ‘Yes’ the system falls under the category of a medical device and guidance should be sought from the MHRA.</t>
  </si>
  <si>
    <t xml:space="preserve">Q2 Is the System updating data held on the Spine?
Output: If the answer is ‘Yes’, further safety assurance may be required in accordance with SCCI0129 / 0160.
</t>
  </si>
  <si>
    <t>Telephone number for operational contact regarding the service.</t>
  </si>
  <si>
    <t>Primary email address.</t>
  </si>
  <si>
    <t>State the hours of support provided by the Client Supplier Service Desk.</t>
  </si>
  <si>
    <t>If there is an on-call rota, please advise how this will be provided to the NHS Digital Bridge.</t>
  </si>
  <si>
    <t xml:space="preserve">Please provide the incident severity levels that you will apply for this service with associated guidance on usage.
Please indicate SLA response times for all incident severity types.
E.g. Severity Level 1 (Critical): HSSI 
Severity Level 2 (High): HSSI
Severity Level 3 (Medium) 
Severity Level 4 (Low) 
Severity Level 5 (Very Low)
</t>
  </si>
  <si>
    <t>Please provide either a name or the rota for performing this function. If the named contact/s will change regularly, please advise how the updated details will be provided to the NHS Digital Service Bridge.</t>
  </si>
  <si>
    <t>Please provide the escalation process for this service. Further guidance is included below*.</t>
  </si>
  <si>
    <t>Name, email and phone numbers of all escalation contacts with the escalation level associated with each contact.</t>
  </si>
  <si>
    <r>
      <t>Select Role (</t>
    </r>
    <r>
      <rPr>
        <b/>
        <sz val="11"/>
        <color indexed="8"/>
        <rFont val="Calibri"/>
        <family val="2"/>
      </rPr>
      <t>Not Service Provider Clinician Admin (SPCA) Role)</t>
    </r>
  </si>
  <si>
    <r>
      <t>Select Role (</t>
    </r>
    <r>
      <rPr>
        <b/>
        <sz val="11"/>
        <color indexed="8"/>
        <rFont val="Calibri"/>
        <family val="2"/>
      </rPr>
      <t>Service Provider Clinician Admin Role)</t>
    </r>
  </si>
  <si>
    <t>Target Operating Model - e-RS APIs - Self-Evaluation Checklist v 1.2</t>
  </si>
  <si>
    <t>1.2</t>
  </si>
  <si>
    <t>Final approval</t>
  </si>
  <si>
    <t>Marc Escreet</t>
  </si>
  <si>
    <t>12/03/2018</t>
  </si>
  <si>
    <t>This section details the individual who will assess the technical conformance of the developed Client based on the outcome of testing  and the completion of sections 5 to 9.x.</t>
  </si>
  <si>
    <t>Back to Introduction</t>
  </si>
  <si>
    <t>11/03/2018</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</si>
</sst>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86" x14ac:knownFonts="1">
    <font>
      <sz val="10"/>
      <name val="Arial"/>
    </font>
    <font>
      <b/>
      <sz val="10"/>
      <name val="Arial"/>
      <family val="2"/>
    </font>
    <font>
      <sz val="8"/>
      <name val="Arial"/>
      <family val="2"/>
    </font>
    <font>
      <b/>
      <sz val="14"/>
      <name val="Arial"/>
      <family val="2"/>
    </font>
    <font>
      <i/>
      <sz val="10"/>
      <name val="Arial"/>
      <family val="2"/>
    </font>
    <font>
      <b/>
      <sz val="10"/>
      <color indexed="9"/>
      <name val="Arial"/>
      <family val="2"/>
    </font>
    <font>
      <b/>
      <i/>
      <sz val="10"/>
      <color indexed="9"/>
      <name val="Arial"/>
      <family val="2"/>
    </font>
    <font>
      <b/>
      <u/>
      <sz val="10"/>
      <name val="Arial"/>
      <family val="2"/>
    </font>
    <font>
      <sz val="10"/>
      <color indexed="10"/>
      <name val="Arial"/>
      <family val="2"/>
    </font>
    <font>
      <b/>
      <sz val="10"/>
      <color indexed="10"/>
      <name val="Arial"/>
      <family val="2"/>
    </font>
    <font>
      <i/>
      <sz val="10"/>
      <color indexed="10"/>
      <name val="Arial"/>
      <family val="2"/>
    </font>
    <font>
      <b/>
      <i/>
      <sz val="10"/>
      <name val="Arial"/>
      <family val="2"/>
    </font>
    <font>
      <sz val="10"/>
      <name val="Arial"/>
      <family val="2"/>
    </font>
    <font>
      <u/>
      <sz val="10"/>
      <color indexed="12"/>
      <name val="Arial"/>
      <family val="2"/>
    </font>
    <font>
      <sz val="10"/>
      <name val="Arial"/>
      <family val="2"/>
    </font>
    <font>
      <b/>
      <sz val="12"/>
      <name val="Arial"/>
      <family val="2"/>
    </font>
    <font>
      <sz val="11"/>
      <color indexed="8"/>
      <name val="Calibri"/>
      <family val="2"/>
    </font>
    <font>
      <b/>
      <u/>
      <sz val="12"/>
      <name val="Arial"/>
      <family val="2"/>
    </font>
    <font>
      <sz val="12"/>
      <name val="Arial"/>
      <family val="2"/>
    </font>
    <font>
      <i/>
      <sz val="12"/>
      <name val="Arial"/>
      <family val="2"/>
    </font>
    <font>
      <b/>
      <sz val="24"/>
      <name val="Arial"/>
      <family val="2"/>
    </font>
    <font>
      <b/>
      <sz val="12"/>
      <color indexed="9"/>
      <name val="Arial"/>
      <family val="2"/>
    </font>
    <font>
      <sz val="11"/>
      <name val="Calibri"/>
      <family val="2"/>
    </font>
    <font>
      <sz val="11"/>
      <name val="Arial"/>
      <family val="2"/>
    </font>
    <font>
      <b/>
      <sz val="11"/>
      <color indexed="9"/>
      <name val="Arial"/>
      <family val="2"/>
    </font>
    <font>
      <sz val="14"/>
      <name val="Arial"/>
      <family val="2"/>
    </font>
    <font>
      <b/>
      <sz val="10"/>
      <color indexed="8"/>
      <name val="Arial"/>
      <family val="2"/>
    </font>
    <font>
      <b/>
      <strike/>
      <sz val="10"/>
      <color indexed="8"/>
      <name val="Arial"/>
      <family val="2"/>
    </font>
    <font>
      <i/>
      <sz val="10"/>
      <color indexed="9"/>
      <name val="Arial"/>
      <family val="2"/>
    </font>
    <font>
      <sz val="10"/>
      <color indexed="9"/>
      <name val="Arial"/>
      <family val="2"/>
    </font>
    <font>
      <i/>
      <u/>
      <sz val="10"/>
      <color indexed="8"/>
      <name val="Arial"/>
      <family val="2"/>
    </font>
    <font>
      <sz val="10"/>
      <color indexed="8"/>
      <name val="Arial"/>
      <family val="2"/>
    </font>
    <font>
      <b/>
      <sz val="11"/>
      <name val="Arial"/>
      <family val="2"/>
    </font>
    <font>
      <b/>
      <i/>
      <u/>
      <sz val="10"/>
      <color indexed="9"/>
      <name val="Arial"/>
      <family val="2"/>
    </font>
    <font>
      <b/>
      <i/>
      <u/>
      <sz val="10"/>
      <name val="Arial"/>
      <family val="2"/>
    </font>
    <font>
      <i/>
      <sz val="11"/>
      <name val="Arial"/>
      <family val="2"/>
    </font>
    <font>
      <sz val="11"/>
      <color indexed="8"/>
      <name val="Arial"/>
      <family val="2"/>
    </font>
    <font>
      <b/>
      <sz val="11"/>
      <color indexed="8"/>
      <name val="Arial"/>
      <family val="2"/>
    </font>
    <font>
      <b/>
      <sz val="10"/>
      <color indexed="50"/>
      <name val="Arial"/>
      <family val="2"/>
    </font>
    <font>
      <b/>
      <sz val="10"/>
      <color indexed="30"/>
      <name val="Arial"/>
      <family val="2"/>
    </font>
    <font>
      <b/>
      <sz val="17"/>
      <name val="Arial"/>
      <family val="2"/>
    </font>
    <font>
      <u/>
      <sz val="10"/>
      <color theme="10"/>
      <name val="Calibri"/>
      <family val="2"/>
    </font>
    <font>
      <u/>
      <sz val="10"/>
      <color theme="10"/>
      <name val="Arial"/>
      <family val="2"/>
    </font>
    <font>
      <sz val="10"/>
      <color theme="1"/>
      <name val="Calibri"/>
      <family val="2"/>
    </font>
    <font>
      <sz val="11"/>
      <color theme="1"/>
      <name val="Arial"/>
      <family val="2"/>
    </font>
    <font>
      <sz val="10"/>
      <color theme="1"/>
      <name val="Arial"/>
      <family val="2"/>
    </font>
    <font>
      <b/>
      <sz val="10"/>
      <color theme="1"/>
      <name val="Arial"/>
      <family val="2"/>
    </font>
    <font>
      <b/>
      <sz val="10"/>
      <color rgb="FF000000"/>
      <name val="Arial"/>
      <family val="2"/>
    </font>
    <font>
      <b/>
      <sz val="12"/>
      <color theme="0"/>
      <name val="Arial"/>
      <family val="2"/>
    </font>
    <font>
      <sz val="12"/>
      <color theme="0"/>
      <name val="Arial"/>
      <family val="2"/>
    </font>
    <font>
      <i/>
      <sz val="12"/>
      <color theme="0"/>
      <name val="Arial"/>
      <family val="2"/>
    </font>
    <font>
      <i/>
      <sz val="10"/>
      <color theme="1"/>
      <name val="Arial"/>
      <family val="2"/>
    </font>
    <font>
      <b/>
      <sz val="10"/>
      <color theme="0"/>
      <name val="Arial"/>
      <family val="2"/>
    </font>
    <font>
      <i/>
      <sz val="10"/>
      <color theme="0"/>
      <name val="Arial"/>
      <family val="2"/>
    </font>
    <font>
      <sz val="10"/>
      <color theme="0"/>
      <name val="Arial"/>
      <family val="2"/>
    </font>
    <font>
      <b/>
      <i/>
      <sz val="10"/>
      <color theme="0"/>
      <name val="Arial"/>
      <family val="2"/>
    </font>
    <font>
      <sz val="8"/>
      <color theme="0"/>
      <name val="Arial"/>
      <family val="2"/>
    </font>
    <font>
      <b/>
      <sz val="14"/>
      <color theme="1"/>
      <name val="Arial"/>
      <family val="2"/>
    </font>
    <font>
      <u/>
      <sz val="10"/>
      <color theme="1"/>
      <name val="Arial"/>
      <family val="2"/>
    </font>
    <font>
      <b/>
      <sz val="14"/>
      <color rgb="FF365F91"/>
      <name val="Cambria"/>
      <family val="1"/>
    </font>
    <font>
      <sz val="10"/>
      <color rgb="FFFF0000"/>
      <name val="Arial"/>
      <family val="2"/>
    </font>
    <font>
      <sz val="10"/>
      <color theme="3"/>
      <name val="Arial"/>
      <family val="2"/>
    </font>
    <font>
      <b/>
      <sz val="10"/>
      <color rgb="FFFF0000"/>
      <name val="Arial"/>
      <family val="2"/>
    </font>
    <font>
      <b/>
      <sz val="10"/>
      <color theme="3"/>
      <name val="Arial"/>
      <family val="2"/>
    </font>
    <font>
      <strike/>
      <sz val="10"/>
      <color theme="1"/>
      <name val="Arial"/>
      <family val="2"/>
    </font>
    <font>
      <sz val="12"/>
      <color theme="1"/>
      <name val="Arial"/>
      <family val="2"/>
    </font>
    <font>
      <i/>
      <sz val="10"/>
      <color theme="0" tint="-0.499984740745262"/>
      <name val="Arial"/>
      <family val="2"/>
    </font>
    <font>
      <i/>
      <sz val="10"/>
      <color rgb="FFFF0000"/>
      <name val="Arial"/>
      <family val="2"/>
    </font>
    <font>
      <b/>
      <sz val="16"/>
      <color theme="1"/>
      <name val="Arial"/>
      <family val="2"/>
    </font>
    <font>
      <sz val="11"/>
      <color theme="3"/>
      <name val="Arial"/>
      <family val="2"/>
    </font>
    <font>
      <b/>
      <sz val="18"/>
      <color theme="3"/>
      <name val="Arial"/>
      <family val="2"/>
    </font>
    <font>
      <sz val="11"/>
      <color rgb="FFFF0000"/>
      <name val="Arial"/>
      <family val="2"/>
    </font>
    <font>
      <b/>
      <sz val="14"/>
      <color theme="3"/>
      <name val="Calibri"/>
      <family val="2"/>
      <scheme val="minor"/>
    </font>
    <font>
      <b/>
      <sz val="14"/>
      <color theme="3"/>
      <name val="Arial"/>
      <family val="2"/>
    </font>
    <font>
      <b/>
      <sz val="10"/>
      <color rgb="FF00B050"/>
      <name val="Arial"/>
      <family val="2"/>
    </font>
    <font>
      <b/>
      <sz val="12"/>
      <color theme="1"/>
      <name val="Arial"/>
      <family val="2"/>
    </font>
    <font>
      <b/>
      <sz val="10"/>
      <color rgb="FF0070C0"/>
      <name val="Arial"/>
      <family val="2"/>
    </font>
    <font>
      <b/>
      <sz val="11"/>
      <color theme="0"/>
      <name val="Arial"/>
      <family val="2"/>
    </font>
    <font>
      <b/>
      <sz val="11"/>
      <color indexed="8"/>
      <name val="Calibri"/>
      <family val="2"/>
    </font>
    <font>
      <b/>
      <u/>
      <sz val="11"/>
      <name val="Arial"/>
      <family val="2"/>
    </font>
    <font>
      <b/>
      <sz val="12"/>
      <color rgb="FFFF0000"/>
      <name val="Arial"/>
      <family val="2"/>
    </font>
    <font>
      <b/>
      <u/>
      <sz val="12"/>
      <color rgb="FFFF0000"/>
      <name val="Arial"/>
      <family val="2"/>
    </font>
    <font>
      <b/>
      <u/>
      <sz val="10"/>
      <color theme="1"/>
      <name val="Arial"/>
      <family val="2"/>
    </font>
    <font>
      <sz val="10"/>
      <color theme="9" tint="-0.249977111117893"/>
      <name val="Arial"/>
      <family val="2"/>
    </font>
    <font>
      <b/>
      <sz val="14"/>
      <color indexed="8"/>
      <name val="Arial"/>
      <family val="2"/>
    </font>
    <font>
      <b/>
      <i/>
      <sz val="10"/>
      <color theme="1"/>
      <name val="Arial"/>
      <family val="2"/>
    </font>
  </fonts>
  <fills count="29">
    <fill>
      <patternFill patternType="none"/>
    </fill>
    <fill>
      <patternFill patternType="gray125"/>
    </fill>
    <fill>
      <patternFill patternType="solid">
        <fgColor indexed="22"/>
        <bgColor indexed="64"/>
      </patternFill>
    </fill>
    <fill>
      <patternFill patternType="solid">
        <fgColor theme="6" tint="0.59999389629810485"/>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theme="1"/>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theme="5" tint="-0.249977111117893"/>
        <bgColor indexed="64"/>
      </patternFill>
    </fill>
    <fill>
      <patternFill patternType="solid">
        <fgColor theme="6" tint="-0.249977111117893"/>
        <bgColor indexed="64"/>
      </patternFill>
    </fill>
    <fill>
      <patternFill patternType="solid">
        <fgColor theme="5" tint="0.59999389629810485"/>
        <bgColor indexed="64"/>
      </patternFill>
    </fill>
    <fill>
      <patternFill patternType="solid">
        <fgColor rgb="FFFFFF66"/>
        <bgColor indexed="64"/>
      </patternFill>
    </fill>
    <fill>
      <patternFill patternType="solid">
        <fgColor theme="0" tint="-0.34998626667073579"/>
        <bgColor indexed="64"/>
      </patternFill>
    </fill>
    <fill>
      <patternFill patternType="solid">
        <fgColor rgb="FFFFCC99"/>
        <bgColor indexed="64"/>
      </patternFill>
    </fill>
    <fill>
      <patternFill patternType="solid">
        <fgColor theme="3" tint="0.59999389629810485"/>
        <bgColor indexed="64"/>
      </patternFill>
    </fill>
    <fill>
      <patternFill patternType="solid">
        <fgColor rgb="FFFFFF66"/>
        <bgColor rgb="FF000000"/>
      </patternFill>
    </fill>
    <fill>
      <patternFill patternType="solid">
        <fgColor theme="6" tint="0.39997558519241921"/>
        <bgColor indexed="64"/>
      </patternFill>
    </fill>
    <fill>
      <patternFill patternType="solid">
        <fgColor rgb="FFC00000"/>
        <bgColor indexed="64"/>
      </patternFill>
    </fill>
    <fill>
      <patternFill patternType="solid">
        <fgColor theme="5" tint="0.59999389629810485"/>
        <bgColor rgb="FF000000"/>
      </patternFill>
    </fill>
    <fill>
      <patternFill patternType="solid">
        <fgColor theme="5" tint="0.59999389629810485"/>
        <bgColor indexed="11"/>
      </patternFill>
    </fill>
    <fill>
      <gradientFill degree="90">
        <stop position="0">
          <color theme="6" tint="0.59999389629810485"/>
        </stop>
        <stop position="1">
          <color theme="5" tint="0.59999389629810485"/>
        </stop>
      </gradientFill>
    </fill>
    <fill>
      <patternFill patternType="solid">
        <fgColor theme="1" tint="4.9989318521683403E-2"/>
        <bgColor indexed="64"/>
      </patternFill>
    </fill>
    <fill>
      <patternFill patternType="solid">
        <fgColor theme="6" tint="0.59999389629810485"/>
        <bgColor indexed="31"/>
      </patternFill>
    </fill>
    <fill>
      <patternFill patternType="solid">
        <fgColor theme="5" tint="0.59999389629810485"/>
        <bgColor indexed="31"/>
      </patternFill>
    </fill>
    <fill>
      <patternFill patternType="solid">
        <fgColor theme="6" tint="0.59996337778862885"/>
        <bgColor indexed="64"/>
      </patternFill>
    </fill>
    <fill>
      <patternFill patternType="solid">
        <fgColor indexed="23"/>
        <bgColor indexed="64"/>
      </patternFill>
    </fill>
    <fill>
      <gradientFill degree="90">
        <stop position="0">
          <color theme="6" tint="0.59999389629810485"/>
        </stop>
        <stop position="1">
          <color theme="5" tint="0.40000610370189521"/>
        </stop>
      </gradientFill>
    </fill>
  </fills>
  <borders count="57">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medium">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right/>
      <top style="thin">
        <color indexed="64"/>
      </top>
      <bottom/>
      <diagonal/>
    </border>
    <border>
      <left/>
      <right/>
      <top style="thin">
        <color theme="0"/>
      </top>
      <bottom/>
      <diagonal/>
    </border>
    <border>
      <left/>
      <right/>
      <top/>
      <bottom style="thin">
        <color theme="0"/>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14">
    <xf numFmtId="0" fontId="0" fillId="0" borderId="0"/>
    <xf numFmtId="0" fontId="13" fillId="0" borderId="0" applyNumberFormat="0" applyFill="0" applyBorder="0" applyAlignment="0" applyProtection="0">
      <alignment vertical="top"/>
      <protection locked="0"/>
    </xf>
    <xf numFmtId="0" fontId="41" fillId="0" borderId="0" applyNumberFormat="0" applyFill="0" applyBorder="0" applyAlignment="0" applyProtection="0"/>
    <xf numFmtId="0" fontId="42" fillId="0" borderId="0" applyNumberFormat="0" applyFill="0" applyBorder="0" applyAlignment="0" applyProtection="0"/>
    <xf numFmtId="0" fontId="16" fillId="0" borderId="0"/>
    <xf numFmtId="0" fontId="12" fillId="0" borderId="0"/>
    <xf numFmtId="0" fontId="12" fillId="0" borderId="0"/>
    <xf numFmtId="0" fontId="12" fillId="0" borderId="0"/>
    <xf numFmtId="0" fontId="43" fillId="0" borderId="0"/>
    <xf numFmtId="0" fontId="43" fillId="0" borderId="0"/>
    <xf numFmtId="0" fontId="43" fillId="0" borderId="0"/>
    <xf numFmtId="0" fontId="44" fillId="0" borderId="0"/>
    <xf numFmtId="0" fontId="43" fillId="0" borderId="0"/>
    <xf numFmtId="0" fontId="45" fillId="0" borderId="0"/>
  </cellStyleXfs>
  <cellXfs count="616">
    <xf numFmtId="0" fontId="0" fillId="0" borderId="0" xfId="0"/>
    <xf numFmtId="0" fontId="3" fillId="0" borderId="0" xfId="0" applyFont="1" applyAlignment="1">
      <alignment vertical="top"/>
    </xf>
    <xf numFmtId="0" fontId="1" fillId="0" borderId="0" xfId="0" applyFont="1" applyAlignment="1">
      <alignment vertical="top"/>
    </xf>
    <xf numFmtId="0" fontId="0" fillId="0" borderId="0" xfId="0" applyAlignment="1">
      <alignment vertical="top"/>
    </xf>
    <xf numFmtId="0" fontId="4" fillId="0" borderId="0" xfId="0" applyFont="1" applyAlignment="1">
      <alignment vertical="top"/>
    </xf>
    <xf numFmtId="0" fontId="0" fillId="0" borderId="0" xfId="0" applyAlignment="1">
      <alignment vertical="top" wrapText="1"/>
    </xf>
    <xf numFmtId="0" fontId="1" fillId="0" borderId="0" xfId="0" applyFont="1" applyAlignment="1">
      <alignment vertical="top" wrapText="1"/>
    </xf>
    <xf numFmtId="0" fontId="4" fillId="0" borderId="0" xfId="0" applyFont="1" applyAlignment="1">
      <alignment vertical="top" wrapText="1"/>
    </xf>
    <xf numFmtId="0" fontId="1" fillId="2" borderId="1" xfId="0" applyFont="1" applyFill="1" applyBorder="1" applyAlignment="1">
      <alignment horizontal="center" vertical="top" wrapText="1"/>
    </xf>
    <xf numFmtId="0" fontId="8" fillId="0" borderId="0" xfId="0" applyFont="1" applyAlignment="1">
      <alignment vertical="top"/>
    </xf>
    <xf numFmtId="0" fontId="9" fillId="0" borderId="0" xfId="0" applyFont="1" applyAlignment="1">
      <alignment vertical="top"/>
    </xf>
    <xf numFmtId="0" fontId="10" fillId="0" borderId="0" xfId="0" applyFont="1" applyAlignment="1">
      <alignment vertical="top"/>
    </xf>
    <xf numFmtId="0" fontId="0" fillId="0" borderId="0" xfId="0" applyBorder="1" applyAlignment="1">
      <alignment vertical="top"/>
    </xf>
    <xf numFmtId="0" fontId="16" fillId="0" borderId="0" xfId="4"/>
    <xf numFmtId="0" fontId="0" fillId="3" borderId="2" xfId="0" applyFill="1" applyBorder="1"/>
    <xf numFmtId="0" fontId="0" fillId="3" borderId="3" xfId="0" applyFill="1" applyBorder="1"/>
    <xf numFmtId="0" fontId="0" fillId="3" borderId="0" xfId="0" applyFill="1" applyBorder="1"/>
    <xf numFmtId="0" fontId="0" fillId="3" borderId="4" xfId="0" applyFill="1" applyBorder="1"/>
    <xf numFmtId="0" fontId="0" fillId="3" borderId="5" xfId="0" applyFill="1" applyBorder="1"/>
    <xf numFmtId="0" fontId="46" fillId="3" borderId="0" xfId="0" applyFont="1" applyFill="1" applyBorder="1"/>
    <xf numFmtId="0" fontId="1" fillId="4" borderId="6" xfId="0" applyFont="1" applyFill="1" applyBorder="1" applyAlignment="1">
      <alignment horizontal="center"/>
    </xf>
    <xf numFmtId="0" fontId="0" fillId="0" borderId="5" xfId="0" applyBorder="1"/>
    <xf numFmtId="0" fontId="17" fillId="3" borderId="7" xfId="0" applyFont="1" applyFill="1" applyBorder="1"/>
    <xf numFmtId="0" fontId="17" fillId="3" borderId="3" xfId="0" applyFont="1" applyFill="1" applyBorder="1"/>
    <xf numFmtId="0" fontId="12" fillId="5" borderId="1" xfId="0" applyFont="1" applyFill="1" applyBorder="1" applyAlignment="1">
      <alignment vertical="top" wrapText="1"/>
    </xf>
    <xf numFmtId="0" fontId="12" fillId="0" borderId="0" xfId="6" applyAlignment="1">
      <alignment vertical="top" wrapText="1"/>
    </xf>
    <xf numFmtId="0" fontId="18" fillId="0" borderId="0" xfId="0" applyFont="1" applyAlignment="1">
      <alignment vertical="center"/>
    </xf>
    <xf numFmtId="0" fontId="15" fillId="0" borderId="0" xfId="0" applyFont="1" applyAlignment="1">
      <alignment vertical="top"/>
    </xf>
    <xf numFmtId="0" fontId="20" fillId="0" borderId="0" xfId="0" applyFont="1" applyAlignment="1">
      <alignment vertical="top"/>
    </xf>
    <xf numFmtId="0" fontId="18" fillId="0" borderId="0" xfId="0" applyFont="1" applyAlignment="1">
      <alignment vertical="top" wrapText="1"/>
    </xf>
    <xf numFmtId="0" fontId="18" fillId="0" borderId="0" xfId="0" applyFont="1" applyAlignment="1">
      <alignment vertical="top"/>
    </xf>
    <xf numFmtId="0" fontId="19" fillId="0" borderId="0" xfId="0" applyFont="1" applyAlignment="1">
      <alignment vertical="top" wrapText="1"/>
    </xf>
    <xf numFmtId="0" fontId="14" fillId="6" borderId="6" xfId="0" applyFont="1" applyFill="1" applyBorder="1"/>
    <xf numFmtId="0" fontId="0" fillId="4" borderId="1" xfId="0" applyFill="1" applyBorder="1" applyAlignment="1">
      <alignment vertical="top" wrapText="1"/>
    </xf>
    <xf numFmtId="0" fontId="0" fillId="3" borderId="8" xfId="0" applyFill="1" applyBorder="1"/>
    <xf numFmtId="0" fontId="0" fillId="3" borderId="9" xfId="0" applyFill="1" applyBorder="1"/>
    <xf numFmtId="0" fontId="1" fillId="3" borderId="6" xfId="0" applyFont="1" applyFill="1" applyBorder="1" applyAlignment="1">
      <alignment horizontal="center"/>
    </xf>
    <xf numFmtId="0" fontId="0" fillId="3" borderId="10" xfId="0" applyFill="1" applyBorder="1"/>
    <xf numFmtId="0" fontId="4" fillId="4" borderId="1" xfId="0" applyFont="1" applyFill="1" applyBorder="1" applyAlignment="1">
      <alignment vertical="top" wrapText="1"/>
    </xf>
    <xf numFmtId="49" fontId="0" fillId="4" borderId="1" xfId="0" applyNumberFormat="1" applyFill="1" applyBorder="1" applyAlignment="1">
      <alignment vertical="top" wrapText="1"/>
    </xf>
    <xf numFmtId="0" fontId="12" fillId="4" borderId="0" xfId="5" applyFont="1" applyFill="1" applyAlignment="1">
      <alignment vertical="center" wrapText="1"/>
    </xf>
    <xf numFmtId="0" fontId="12" fillId="4" borderId="3" xfId="5" applyFont="1" applyFill="1" applyBorder="1" applyAlignment="1">
      <alignment vertical="center" wrapText="1"/>
    </xf>
    <xf numFmtId="0" fontId="12" fillId="4" borderId="0" xfId="6" applyFill="1" applyAlignment="1">
      <alignment vertical="top" wrapText="1"/>
    </xf>
    <xf numFmtId="0" fontId="23" fillId="0" borderId="0" xfId="5" applyFont="1" applyAlignment="1">
      <alignment vertical="top" wrapText="1"/>
    </xf>
    <xf numFmtId="0" fontId="24" fillId="7" borderId="11" xfId="5" applyFont="1" applyFill="1" applyBorder="1" applyAlignment="1">
      <alignment horizontal="center" vertical="top" wrapText="1"/>
    </xf>
    <xf numFmtId="0" fontId="24" fillId="7" borderId="12" xfId="5" applyFont="1" applyFill="1" applyBorder="1" applyAlignment="1">
      <alignment horizontal="center" vertical="top" wrapText="1"/>
    </xf>
    <xf numFmtId="0" fontId="24" fillId="7" borderId="13" xfId="5" applyFont="1" applyFill="1" applyBorder="1" applyAlignment="1">
      <alignment horizontal="center" vertical="top" wrapText="1"/>
    </xf>
    <xf numFmtId="0" fontId="23" fillId="4" borderId="0" xfId="5" applyFont="1" applyFill="1" applyAlignment="1">
      <alignment vertical="top" wrapText="1"/>
    </xf>
    <xf numFmtId="0" fontId="12" fillId="4" borderId="0" xfId="5" applyFont="1" applyFill="1" applyAlignment="1">
      <alignment vertical="top"/>
    </xf>
    <xf numFmtId="0" fontId="4" fillId="4" borderId="0" xfId="5" applyFont="1" applyFill="1" applyAlignment="1">
      <alignment vertical="top"/>
    </xf>
    <xf numFmtId="0" fontId="1" fillId="4" borderId="0" xfId="5" applyFont="1" applyFill="1" applyAlignment="1">
      <alignment vertical="top"/>
    </xf>
    <xf numFmtId="0" fontId="25" fillId="4" borderId="0" xfId="5" applyFont="1" applyFill="1" applyAlignment="1">
      <alignment vertical="center" wrapText="1"/>
    </xf>
    <xf numFmtId="0" fontId="3" fillId="4" borderId="0" xfId="5" applyFont="1" applyFill="1" applyAlignment="1">
      <alignment vertical="top"/>
    </xf>
    <xf numFmtId="0" fontId="0" fillId="0" borderId="0" xfId="0" applyFont="1" applyAlignment="1">
      <alignment vertical="top" wrapText="1"/>
    </xf>
    <xf numFmtId="0" fontId="0" fillId="0" borderId="0" xfId="0" applyAlignment="1">
      <alignment horizontal="left" vertical="top"/>
    </xf>
    <xf numFmtId="0" fontId="11" fillId="0" borderId="0" xfId="0" applyFont="1" applyAlignment="1">
      <alignment vertical="top"/>
    </xf>
    <xf numFmtId="0" fontId="0" fillId="0" borderId="0" xfId="0" applyAlignment="1">
      <alignment horizontal="left" vertical="top" wrapText="1"/>
    </xf>
    <xf numFmtId="0" fontId="47" fillId="0" borderId="52" xfId="5" applyFont="1" applyBorder="1" applyAlignment="1"/>
    <xf numFmtId="0" fontId="47" fillId="0" borderId="53" xfId="5" applyFont="1" applyBorder="1" applyAlignment="1"/>
    <xf numFmtId="0" fontId="15" fillId="8" borderId="1" xfId="0" applyFont="1" applyFill="1" applyBorder="1" applyAlignment="1">
      <alignment vertical="top" wrapText="1"/>
    </xf>
    <xf numFmtId="0" fontId="18" fillId="8" borderId="1" xfId="0" applyFont="1" applyFill="1" applyBorder="1" applyAlignment="1">
      <alignment vertical="top" wrapText="1"/>
    </xf>
    <xf numFmtId="0" fontId="15" fillId="9" borderId="1" xfId="0" applyFont="1" applyFill="1" applyBorder="1" applyAlignment="1">
      <alignment vertical="top" wrapText="1"/>
    </xf>
    <xf numFmtId="0" fontId="19" fillId="9" borderId="1" xfId="0" applyFont="1" applyFill="1" applyBorder="1" applyAlignment="1">
      <alignment vertical="top" wrapText="1"/>
    </xf>
    <xf numFmtId="0" fontId="19" fillId="8" borderId="1" xfId="0" applyFont="1" applyFill="1" applyBorder="1" applyAlignment="1">
      <alignment vertical="top" wrapText="1"/>
    </xf>
    <xf numFmtId="0" fontId="18" fillId="9" borderId="1" xfId="0" applyFont="1" applyFill="1" applyBorder="1" applyAlignment="1">
      <alignment horizontal="left" vertical="top" wrapText="1"/>
    </xf>
    <xf numFmtId="14" fontId="18" fillId="9" borderId="1" xfId="0" applyNumberFormat="1" applyFont="1" applyFill="1" applyBorder="1" applyAlignment="1">
      <alignment horizontal="center" vertical="top" wrapText="1"/>
    </xf>
    <xf numFmtId="0" fontId="48" fillId="8" borderId="1" xfId="0" applyFont="1" applyFill="1" applyBorder="1" applyAlignment="1">
      <alignment vertical="top"/>
    </xf>
    <xf numFmtId="0" fontId="48" fillId="8" borderId="1" xfId="0" applyFont="1" applyFill="1" applyBorder="1" applyAlignment="1">
      <alignment vertical="top" wrapText="1"/>
    </xf>
    <xf numFmtId="0" fontId="49" fillId="8" borderId="1" xfId="0" applyFont="1" applyFill="1" applyBorder="1" applyAlignment="1">
      <alignment vertical="top" wrapText="1"/>
    </xf>
    <xf numFmtId="0" fontId="18" fillId="9" borderId="1" xfId="0" applyFont="1" applyFill="1" applyBorder="1" applyAlignment="1">
      <alignment horizontal="center" vertical="top" wrapText="1"/>
    </xf>
    <xf numFmtId="0" fontId="50" fillId="8" borderId="1" xfId="0" applyFont="1" applyFill="1" applyBorder="1" applyAlignment="1">
      <alignment vertical="top" wrapText="1"/>
    </xf>
    <xf numFmtId="0" fontId="1" fillId="10" borderId="1" xfId="0" applyFont="1" applyFill="1" applyBorder="1" applyAlignment="1">
      <alignment vertical="top" wrapText="1"/>
    </xf>
    <xf numFmtId="0" fontId="4" fillId="10" borderId="1" xfId="0" applyFont="1" applyFill="1" applyBorder="1" applyAlignment="1">
      <alignment vertical="top" wrapText="1"/>
    </xf>
    <xf numFmtId="0" fontId="0" fillId="10" borderId="1" xfId="0" applyFill="1" applyBorder="1" applyAlignment="1">
      <alignment vertical="top" wrapText="1"/>
    </xf>
    <xf numFmtId="0" fontId="1" fillId="11" borderId="1" xfId="0" applyFont="1" applyFill="1" applyBorder="1" applyAlignment="1">
      <alignment vertical="top"/>
    </xf>
    <xf numFmtId="0" fontId="1" fillId="11" borderId="1" xfId="0" applyFont="1" applyFill="1" applyBorder="1" applyAlignment="1">
      <alignment vertical="top" wrapText="1"/>
    </xf>
    <xf numFmtId="0" fontId="4" fillId="11" borderId="1" xfId="0" applyFont="1" applyFill="1" applyBorder="1" applyAlignment="1">
      <alignment vertical="top" wrapText="1"/>
    </xf>
    <xf numFmtId="0" fontId="0" fillId="11" borderId="1" xfId="0" applyFill="1" applyBorder="1" applyAlignment="1">
      <alignment vertical="top" wrapText="1"/>
    </xf>
    <xf numFmtId="0" fontId="1" fillId="3" borderId="1" xfId="0" applyFont="1" applyFill="1" applyBorder="1" applyAlignment="1">
      <alignment vertical="top" wrapText="1"/>
    </xf>
    <xf numFmtId="0" fontId="4" fillId="3" borderId="1" xfId="0" applyFont="1" applyFill="1" applyBorder="1" applyAlignment="1">
      <alignment vertical="top" wrapText="1"/>
    </xf>
    <xf numFmtId="0" fontId="0" fillId="3" borderId="1" xfId="0" applyFill="1" applyBorder="1" applyAlignment="1">
      <alignment vertical="top" wrapText="1"/>
    </xf>
    <xf numFmtId="0" fontId="1" fillId="12" borderId="1" xfId="0" applyFont="1" applyFill="1" applyBorder="1" applyAlignment="1">
      <alignment vertical="top" wrapText="1"/>
    </xf>
    <xf numFmtId="0" fontId="4" fillId="12" borderId="1" xfId="0" applyFont="1" applyFill="1" applyBorder="1" applyAlignment="1">
      <alignment vertical="top" wrapText="1"/>
    </xf>
    <xf numFmtId="0" fontId="0" fillId="12" borderId="1" xfId="0" applyFill="1" applyBorder="1" applyAlignment="1">
      <alignment vertical="top" wrapText="1"/>
    </xf>
    <xf numFmtId="0" fontId="5" fillId="7" borderId="1" xfId="0" applyFont="1" applyFill="1" applyBorder="1" applyAlignment="1">
      <alignment horizontal="center" vertical="top" wrapText="1"/>
    </xf>
    <xf numFmtId="0" fontId="1" fillId="8" borderId="1" xfId="0" applyFont="1" applyFill="1" applyBorder="1" applyAlignment="1">
      <alignment vertical="top" wrapText="1"/>
    </xf>
    <xf numFmtId="0" fontId="4" fillId="8" borderId="1" xfId="0" applyFont="1" applyFill="1" applyBorder="1" applyAlignment="1">
      <alignment vertical="top" wrapText="1"/>
    </xf>
    <xf numFmtId="0" fontId="0" fillId="8" borderId="1" xfId="0" applyFill="1" applyBorder="1" applyAlignment="1">
      <alignment vertical="top" wrapText="1"/>
    </xf>
    <xf numFmtId="0" fontId="1" fillId="9" borderId="1" xfId="0" applyFont="1" applyFill="1" applyBorder="1" applyAlignment="1">
      <alignment vertical="top" wrapText="1"/>
    </xf>
    <xf numFmtId="0" fontId="4" fillId="9" borderId="1" xfId="0" applyFont="1" applyFill="1" applyBorder="1" applyAlignment="1">
      <alignment vertical="top" wrapText="1"/>
    </xf>
    <xf numFmtId="0" fontId="0" fillId="9" borderId="1" xfId="0" applyFill="1" applyBorder="1" applyAlignment="1">
      <alignment vertical="top" wrapText="1"/>
    </xf>
    <xf numFmtId="49" fontId="0" fillId="9" borderId="1" xfId="0" applyNumberFormat="1" applyFill="1" applyBorder="1" applyAlignment="1">
      <alignment vertical="top" wrapText="1"/>
    </xf>
    <xf numFmtId="49" fontId="12" fillId="3" borderId="1" xfId="0" applyNumberFormat="1" applyFont="1" applyFill="1" applyBorder="1" applyAlignment="1">
      <alignment vertical="top" wrapText="1"/>
    </xf>
    <xf numFmtId="49" fontId="0" fillId="3" borderId="1" xfId="0" applyNumberFormat="1" applyFill="1" applyBorder="1" applyAlignment="1">
      <alignment vertical="top" wrapText="1"/>
    </xf>
    <xf numFmtId="49" fontId="0" fillId="12" borderId="1" xfId="0" applyNumberFormat="1" applyFill="1" applyBorder="1" applyAlignment="1">
      <alignment vertical="top" wrapText="1"/>
    </xf>
    <xf numFmtId="49" fontId="0" fillId="8" borderId="1" xfId="0" applyNumberFormat="1" applyFill="1" applyBorder="1" applyAlignment="1">
      <alignment vertical="top" wrapText="1"/>
    </xf>
    <xf numFmtId="0" fontId="12" fillId="9" borderId="1" xfId="0" applyFont="1" applyFill="1" applyBorder="1" applyAlignment="1">
      <alignment vertical="top" wrapText="1"/>
    </xf>
    <xf numFmtId="0" fontId="13" fillId="9" borderId="1" xfId="1" applyFill="1" applyBorder="1" applyAlignment="1" applyProtection="1">
      <alignment vertical="top" wrapText="1"/>
    </xf>
    <xf numFmtId="0" fontId="1" fillId="4" borderId="1" xfId="0" applyFont="1" applyFill="1" applyBorder="1" applyAlignment="1">
      <alignment vertical="top" wrapText="1"/>
    </xf>
    <xf numFmtId="0" fontId="11" fillId="4" borderId="1" xfId="0" applyFont="1" applyFill="1" applyBorder="1" applyAlignment="1">
      <alignment vertical="top" wrapText="1"/>
    </xf>
    <xf numFmtId="0" fontId="51" fillId="12" borderId="1" xfId="0" applyFont="1" applyFill="1" applyBorder="1" applyAlignment="1">
      <alignment vertical="top" wrapText="1"/>
    </xf>
    <xf numFmtId="0" fontId="52" fillId="10" borderId="1" xfId="0" applyFont="1" applyFill="1" applyBorder="1" applyAlignment="1">
      <alignment vertical="top"/>
    </xf>
    <xf numFmtId="0" fontId="52" fillId="10" borderId="1" xfId="0" applyFont="1" applyFill="1" applyBorder="1" applyAlignment="1">
      <alignment vertical="top" wrapText="1"/>
    </xf>
    <xf numFmtId="0" fontId="53" fillId="10" borderId="1" xfId="0" applyFont="1" applyFill="1" applyBorder="1" applyAlignment="1">
      <alignment vertical="top" wrapText="1"/>
    </xf>
    <xf numFmtId="0" fontId="54" fillId="10" borderId="1" xfId="0" applyFont="1" applyFill="1" applyBorder="1" applyAlignment="1">
      <alignment vertical="top" wrapText="1"/>
    </xf>
    <xf numFmtId="49" fontId="54" fillId="10" borderId="1" xfId="0" applyNumberFormat="1" applyFont="1" applyFill="1" applyBorder="1" applyAlignment="1">
      <alignment vertical="top" wrapText="1"/>
    </xf>
    <xf numFmtId="0" fontId="52" fillId="8" borderId="1" xfId="0" applyFont="1" applyFill="1" applyBorder="1" applyAlignment="1">
      <alignment vertical="top" wrapText="1"/>
    </xf>
    <xf numFmtId="0" fontId="55" fillId="10" borderId="1" xfId="0" applyFont="1" applyFill="1" applyBorder="1" applyAlignment="1">
      <alignment vertical="top" wrapText="1"/>
    </xf>
    <xf numFmtId="0" fontId="52" fillId="7" borderId="1" xfId="0" applyFont="1" applyFill="1" applyBorder="1" applyAlignment="1">
      <alignment horizontal="center" vertical="top" wrapText="1"/>
    </xf>
    <xf numFmtId="0" fontId="12" fillId="0" borderId="0" xfId="0" applyFont="1" applyAlignment="1">
      <alignment vertical="top"/>
    </xf>
    <xf numFmtId="0" fontId="1" fillId="5" borderId="1" xfId="0" applyFont="1" applyFill="1" applyBorder="1" applyAlignment="1">
      <alignment vertical="top" wrapText="1"/>
    </xf>
    <xf numFmtId="0" fontId="57" fillId="0" borderId="0" xfId="6" applyFont="1" applyAlignment="1">
      <alignment vertical="top"/>
    </xf>
    <xf numFmtId="0" fontId="46" fillId="0" borderId="0" xfId="6" applyFont="1" applyAlignment="1">
      <alignment vertical="top"/>
    </xf>
    <xf numFmtId="0" fontId="51" fillId="0" borderId="0" xfId="6" applyFont="1" applyAlignment="1">
      <alignment vertical="top"/>
    </xf>
    <xf numFmtId="0" fontId="58" fillId="0" borderId="0" xfId="1" applyFont="1" applyAlignment="1" applyProtection="1">
      <alignment vertical="top"/>
    </xf>
    <xf numFmtId="0" fontId="45" fillId="0" borderId="0" xfId="6" applyFont="1" applyAlignment="1">
      <alignment vertical="top"/>
    </xf>
    <xf numFmtId="0" fontId="45" fillId="0" borderId="0" xfId="6" applyFont="1" applyAlignment="1">
      <alignment vertical="top" wrapText="1"/>
    </xf>
    <xf numFmtId="0" fontId="46" fillId="2" borderId="14" xfId="6" applyFont="1" applyFill="1" applyBorder="1" applyAlignment="1">
      <alignment horizontal="center" vertical="top" wrapText="1"/>
    </xf>
    <xf numFmtId="0" fontId="46" fillId="0" borderId="3" xfId="6" applyFont="1" applyBorder="1" applyAlignment="1">
      <alignment vertical="top" wrapText="1"/>
    </xf>
    <xf numFmtId="0" fontId="46" fillId="0" borderId="0" xfId="6" applyFont="1" applyBorder="1" applyAlignment="1">
      <alignment vertical="top" wrapText="1"/>
    </xf>
    <xf numFmtId="0" fontId="51" fillId="0" borderId="0" xfId="6" applyFont="1" applyBorder="1" applyAlignment="1">
      <alignment vertical="top" wrapText="1"/>
    </xf>
    <xf numFmtId="0" fontId="45" fillId="0" borderId="0" xfId="6" applyFont="1" applyBorder="1" applyAlignment="1">
      <alignment vertical="top" wrapText="1"/>
    </xf>
    <xf numFmtId="0" fontId="51" fillId="0" borderId="9" xfId="6" applyFont="1" applyBorder="1" applyAlignment="1">
      <alignment vertical="top" wrapText="1"/>
    </xf>
    <xf numFmtId="0" fontId="46" fillId="0" borderId="0" xfId="6" applyFont="1" applyBorder="1" applyAlignment="1">
      <alignment vertical="top"/>
    </xf>
    <xf numFmtId="0" fontId="45" fillId="0" borderId="0" xfId="6" applyFont="1" applyBorder="1" applyAlignment="1">
      <alignment vertical="top"/>
    </xf>
    <xf numFmtId="0" fontId="51" fillId="0" borderId="0" xfId="6" applyFont="1" applyAlignment="1">
      <alignment vertical="top" wrapText="1"/>
    </xf>
    <xf numFmtId="0" fontId="46" fillId="0" borderId="0" xfId="6" applyFont="1" applyAlignment="1">
      <alignment vertical="top" wrapText="1"/>
    </xf>
    <xf numFmtId="0" fontId="52" fillId="7" borderId="15" xfId="6" applyFont="1" applyFill="1" applyBorder="1" applyAlignment="1">
      <alignment horizontal="center" vertical="top" wrapText="1"/>
    </xf>
    <xf numFmtId="0" fontId="52" fillId="7" borderId="16" xfId="6" applyFont="1" applyFill="1" applyBorder="1" applyAlignment="1">
      <alignment horizontal="center" vertical="top" wrapText="1"/>
    </xf>
    <xf numFmtId="0" fontId="52" fillId="7" borderId="17" xfId="6" applyFont="1" applyFill="1" applyBorder="1" applyAlignment="1">
      <alignment horizontal="center" vertical="top" wrapText="1"/>
    </xf>
    <xf numFmtId="0" fontId="52" fillId="7" borderId="18" xfId="6" applyFont="1" applyFill="1" applyBorder="1" applyAlignment="1">
      <alignment vertical="top" wrapText="1"/>
    </xf>
    <xf numFmtId="0" fontId="52" fillId="7" borderId="1" xfId="6" applyFont="1" applyFill="1" applyBorder="1" applyAlignment="1">
      <alignment vertical="top" wrapText="1"/>
    </xf>
    <xf numFmtId="0" fontId="53" fillId="7" borderId="1" xfId="6" applyFont="1" applyFill="1" applyBorder="1" applyAlignment="1">
      <alignment vertical="top" wrapText="1"/>
    </xf>
    <xf numFmtId="0" fontId="54" fillId="7" borderId="1" xfId="6" applyFont="1" applyFill="1" applyBorder="1" applyAlignment="1">
      <alignment vertical="top" wrapText="1"/>
    </xf>
    <xf numFmtId="0" fontId="54" fillId="7" borderId="14" xfId="6" applyFont="1" applyFill="1" applyBorder="1" applyAlignment="1">
      <alignment vertical="top" wrapText="1"/>
    </xf>
    <xf numFmtId="0" fontId="21" fillId="7" borderId="1" xfId="0" applyFont="1" applyFill="1" applyBorder="1" applyAlignment="1">
      <alignment horizontal="center" vertical="top" wrapText="1"/>
    </xf>
    <xf numFmtId="0" fontId="48" fillId="7" borderId="1" xfId="0" applyFont="1" applyFill="1" applyBorder="1" applyAlignment="1">
      <alignment horizontal="center" vertical="top" wrapText="1"/>
    </xf>
    <xf numFmtId="0" fontId="19" fillId="9" borderId="1" xfId="0" applyFont="1" applyFill="1" applyBorder="1" applyAlignment="1">
      <alignment horizontal="left" vertical="top" wrapText="1"/>
    </xf>
    <xf numFmtId="0" fontId="3" fillId="0" borderId="0" xfId="0" applyFont="1" applyAlignment="1">
      <alignment vertical="top" wrapText="1"/>
    </xf>
    <xf numFmtId="0" fontId="11" fillId="0" borderId="0" xfId="0" applyFont="1" applyAlignment="1">
      <alignment vertical="top" wrapText="1"/>
    </xf>
    <xf numFmtId="49" fontId="0" fillId="13" borderId="1" xfId="0" applyNumberFormat="1" applyFont="1" applyFill="1" applyBorder="1" applyAlignment="1">
      <alignment vertical="top" wrapText="1"/>
    </xf>
    <xf numFmtId="0" fontId="0" fillId="14" borderId="1" xfId="0" applyFont="1" applyFill="1" applyBorder="1" applyAlignment="1">
      <alignment vertical="top" wrapText="1"/>
    </xf>
    <xf numFmtId="0" fontId="1" fillId="15" borderId="1" xfId="0" applyFont="1" applyFill="1" applyBorder="1" applyAlignment="1">
      <alignment horizontal="left" vertical="top" wrapText="1"/>
    </xf>
    <xf numFmtId="0" fontId="0" fillId="0" borderId="1" xfId="0" applyFont="1" applyFill="1" applyBorder="1" applyAlignment="1">
      <alignment vertical="top" wrapText="1"/>
    </xf>
    <xf numFmtId="14" fontId="0" fillId="13" borderId="1" xfId="0" applyNumberFormat="1" applyFont="1" applyFill="1" applyBorder="1" applyAlignment="1">
      <alignment vertical="top" wrapText="1"/>
    </xf>
    <xf numFmtId="0" fontId="0" fillId="13" borderId="1" xfId="0" applyNumberFormat="1" applyFont="1" applyFill="1" applyBorder="1" applyAlignment="1">
      <alignment vertical="top" wrapText="1"/>
    </xf>
    <xf numFmtId="0" fontId="1" fillId="13" borderId="1" xfId="0" applyNumberFormat="1" applyFont="1" applyFill="1" applyBorder="1" applyAlignment="1">
      <alignment vertical="top" wrapText="1"/>
    </xf>
    <xf numFmtId="0" fontId="0" fillId="13" borderId="1" xfId="0" applyFont="1" applyFill="1" applyBorder="1" applyAlignment="1">
      <alignment vertical="top" wrapText="1"/>
    </xf>
    <xf numFmtId="49" fontId="1" fillId="16" borderId="1" xfId="0" applyNumberFormat="1" applyFont="1" applyFill="1" applyBorder="1" applyAlignment="1">
      <alignment vertical="top"/>
    </xf>
    <xf numFmtId="0" fontId="1" fillId="16" borderId="1" xfId="0" applyFont="1" applyFill="1" applyBorder="1" applyAlignment="1">
      <alignment vertical="top" wrapText="1"/>
    </xf>
    <xf numFmtId="0" fontId="0" fillId="16" borderId="1" xfId="0" applyFont="1" applyFill="1" applyBorder="1" applyAlignment="1">
      <alignment vertical="top" wrapText="1"/>
    </xf>
    <xf numFmtId="0" fontId="0" fillId="16" borderId="1" xfId="0" applyFill="1" applyBorder="1" applyAlignment="1">
      <alignment horizontal="left" vertical="top" wrapText="1"/>
    </xf>
    <xf numFmtId="49" fontId="0" fillId="0" borderId="1" xfId="0" applyNumberFormat="1" applyFont="1" applyFill="1" applyBorder="1" applyAlignment="1">
      <alignment vertical="top" wrapText="1"/>
    </xf>
    <xf numFmtId="0" fontId="1" fillId="16" borderId="1" xfId="0" applyFont="1" applyFill="1" applyBorder="1" applyAlignment="1">
      <alignment vertical="top"/>
    </xf>
    <xf numFmtId="49" fontId="12" fillId="13" borderId="1" xfId="0" applyNumberFormat="1" applyFont="1" applyFill="1" applyBorder="1" applyAlignment="1">
      <alignment vertical="top" wrapText="1"/>
    </xf>
    <xf numFmtId="0" fontId="12" fillId="13" borderId="1" xfId="0" applyNumberFormat="1" applyFont="1" applyFill="1" applyBorder="1" applyAlignment="1">
      <alignment vertical="top" wrapText="1"/>
    </xf>
    <xf numFmtId="0" fontId="26" fillId="0" borderId="0" xfId="8" applyFont="1" applyAlignment="1"/>
    <xf numFmtId="0" fontId="31" fillId="0" borderId="0" xfId="8" applyFont="1"/>
    <xf numFmtId="0" fontId="31" fillId="0" borderId="0" xfId="8" applyFont="1" applyAlignment="1"/>
    <xf numFmtId="0" fontId="26" fillId="0" borderId="0" xfId="8" applyFont="1"/>
    <xf numFmtId="0" fontId="59" fillId="0" borderId="0" xfId="0" applyFont="1" applyAlignment="1">
      <alignment horizontal="left" vertical="top" wrapText="1"/>
    </xf>
    <xf numFmtId="0" fontId="1" fillId="0" borderId="0" xfId="0" applyFont="1" applyAlignment="1">
      <alignment vertical="center"/>
    </xf>
    <xf numFmtId="0" fontId="23" fillId="9" borderId="1" xfId="0" applyFont="1" applyFill="1" applyBorder="1" applyAlignment="1">
      <alignment vertical="top" wrapText="1"/>
    </xf>
    <xf numFmtId="0" fontId="52" fillId="11" borderId="1" xfId="0" applyFont="1" applyFill="1" applyBorder="1" applyAlignment="1">
      <alignment vertical="top"/>
    </xf>
    <xf numFmtId="0" fontId="52" fillId="11" borderId="1" xfId="0" applyFont="1" applyFill="1" applyBorder="1" applyAlignment="1">
      <alignment vertical="top" wrapText="1"/>
    </xf>
    <xf numFmtId="0" fontId="55" fillId="11" borderId="1" xfId="0" applyFont="1" applyFill="1" applyBorder="1" applyAlignment="1">
      <alignment vertical="top" wrapText="1"/>
    </xf>
    <xf numFmtId="0" fontId="54" fillId="11" borderId="1" xfId="0" applyFont="1" applyFill="1" applyBorder="1" applyAlignment="1">
      <alignment vertical="top" wrapText="1"/>
    </xf>
    <xf numFmtId="0" fontId="54" fillId="11" borderId="1" xfId="0" applyFont="1" applyFill="1" applyBorder="1" applyAlignment="1">
      <alignment horizontal="left" vertical="top" wrapText="1"/>
    </xf>
    <xf numFmtId="0" fontId="24" fillId="7" borderId="1" xfId="0" applyFont="1" applyFill="1" applyBorder="1" applyAlignment="1">
      <alignment horizontal="center" vertical="top" wrapText="1"/>
    </xf>
    <xf numFmtId="14" fontId="12" fillId="17" borderId="1" xfId="0" applyNumberFormat="1" applyFont="1" applyFill="1" applyBorder="1" applyAlignment="1">
      <alignment vertical="top" wrapText="1"/>
    </xf>
    <xf numFmtId="14" fontId="62" fillId="17" borderId="1" xfId="0" applyNumberFormat="1" applyFont="1" applyFill="1" applyBorder="1" applyAlignment="1">
      <alignment vertical="top" wrapText="1"/>
    </xf>
    <xf numFmtId="0" fontId="63" fillId="14" borderId="1" xfId="0" applyFont="1" applyFill="1" applyBorder="1" applyAlignment="1">
      <alignment vertical="top" wrapText="1"/>
    </xf>
    <xf numFmtId="0" fontId="61" fillId="12" borderId="1" xfId="0" applyFont="1" applyFill="1" applyBorder="1" applyAlignment="1">
      <alignment vertical="top" wrapText="1"/>
    </xf>
    <xf numFmtId="0" fontId="11" fillId="9" borderId="1" xfId="0" applyFont="1" applyFill="1" applyBorder="1" applyAlignment="1">
      <alignment vertical="top" wrapText="1"/>
    </xf>
    <xf numFmtId="14" fontId="61" fillId="17" borderId="1" xfId="0" applyNumberFormat="1" applyFont="1" applyFill="1" applyBorder="1" applyAlignment="1">
      <alignment vertical="top" wrapText="1"/>
    </xf>
    <xf numFmtId="0" fontId="48" fillId="11" borderId="1" xfId="0" applyFont="1" applyFill="1" applyBorder="1" applyAlignment="1">
      <alignment vertical="top"/>
    </xf>
    <xf numFmtId="0" fontId="32" fillId="18" borderId="1" xfId="0" applyFont="1" applyFill="1" applyBorder="1" applyAlignment="1">
      <alignment vertical="top" wrapText="1"/>
    </xf>
    <xf numFmtId="0" fontId="35" fillId="18" borderId="1" xfId="0" applyFont="1" applyFill="1" applyBorder="1" applyAlignment="1">
      <alignment vertical="top" wrapText="1"/>
    </xf>
    <xf numFmtId="0" fontId="23" fillId="18" borderId="1" xfId="0" applyFont="1" applyFill="1" applyBorder="1" applyAlignment="1">
      <alignment vertical="top" wrapText="1"/>
    </xf>
    <xf numFmtId="0" fontId="52" fillId="7" borderId="0" xfId="0" applyFont="1" applyFill="1" applyAlignment="1">
      <alignment horizontal="center"/>
    </xf>
    <xf numFmtId="0" fontId="12" fillId="4" borderId="0" xfId="6" applyFill="1" applyBorder="1"/>
    <xf numFmtId="0" fontId="18" fillId="4" borderId="0" xfId="6" applyFont="1" applyFill="1"/>
    <xf numFmtId="0" fontId="12" fillId="4" borderId="0" xfId="6" applyFont="1" applyFill="1"/>
    <xf numFmtId="0" fontId="12" fillId="4" borderId="0" xfId="6" applyFill="1"/>
    <xf numFmtId="0" fontId="1" fillId="4" borderId="0" xfId="6" applyFont="1" applyFill="1"/>
    <xf numFmtId="0" fontId="12" fillId="4" borderId="0" xfId="6" applyFont="1" applyFill="1" applyAlignment="1">
      <alignment vertical="center" wrapText="1"/>
    </xf>
    <xf numFmtId="0" fontId="12" fillId="4" borderId="0" xfId="6" applyFill="1" applyAlignment="1">
      <alignment wrapText="1"/>
    </xf>
    <xf numFmtId="0" fontId="12" fillId="4" borderId="0" xfId="6" applyFont="1" applyFill="1" applyAlignment="1">
      <alignment horizontal="left" vertical="center" wrapText="1"/>
    </xf>
    <xf numFmtId="0" fontId="1" fillId="4" borderId="0" xfId="6" applyFont="1" applyFill="1" applyAlignment="1">
      <alignment wrapText="1"/>
    </xf>
    <xf numFmtId="0" fontId="22" fillId="4" borderId="0" xfId="6" applyFont="1" applyFill="1" applyAlignment="1">
      <alignment horizontal="left" vertical="center" wrapText="1"/>
    </xf>
    <xf numFmtId="0" fontId="45" fillId="4" borderId="0" xfId="0" applyFont="1" applyFill="1"/>
    <xf numFmtId="0" fontId="64" fillId="4" borderId="0" xfId="0" applyFont="1" applyFill="1"/>
    <xf numFmtId="0" fontId="65" fillId="4" borderId="0" xfId="6" applyFont="1" applyFill="1"/>
    <xf numFmtId="0" fontId="45" fillId="4" borderId="0" xfId="6" applyFont="1" applyFill="1"/>
    <xf numFmtId="0" fontId="46" fillId="4" borderId="19" xfId="6" applyFont="1" applyFill="1" applyBorder="1"/>
    <xf numFmtId="0" fontId="46" fillId="4" borderId="20" xfId="6" applyFont="1" applyFill="1" applyBorder="1"/>
    <xf numFmtId="0" fontId="46" fillId="4" borderId="21" xfId="6" applyFont="1" applyFill="1" applyBorder="1"/>
    <xf numFmtId="0" fontId="3" fillId="0" borderId="0" xfId="5" applyFont="1" applyAlignment="1">
      <alignment vertical="top"/>
    </xf>
    <xf numFmtId="0" fontId="1" fillId="0" borderId="0" xfId="5" applyFont="1" applyAlignment="1">
      <alignment vertical="top"/>
    </xf>
    <xf numFmtId="0" fontId="4" fillId="0" borderId="0" xfId="5" applyFont="1" applyAlignment="1">
      <alignment vertical="top"/>
    </xf>
    <xf numFmtId="0" fontId="12" fillId="0" borderId="0" xfId="5" applyAlignment="1">
      <alignment vertical="top"/>
    </xf>
    <xf numFmtId="0" fontId="8" fillId="0" borderId="0" xfId="5" applyFont="1" applyAlignment="1">
      <alignment vertical="top"/>
    </xf>
    <xf numFmtId="0" fontId="9" fillId="0" borderId="0" xfId="5" applyFont="1" applyAlignment="1">
      <alignment vertical="top"/>
    </xf>
    <xf numFmtId="0" fontId="12" fillId="0" borderId="0" xfId="5" applyAlignment="1">
      <alignment vertical="top" wrapText="1"/>
    </xf>
    <xf numFmtId="0" fontId="1" fillId="0" borderId="0" xfId="5" applyFont="1" applyAlignment="1">
      <alignment vertical="top" wrapText="1"/>
    </xf>
    <xf numFmtId="0" fontId="4" fillId="0" borderId="0" xfId="5" applyFont="1" applyAlignment="1">
      <alignment vertical="top" wrapText="1"/>
    </xf>
    <xf numFmtId="0" fontId="12" fillId="0" borderId="0" xfId="5" applyFont="1" applyAlignment="1">
      <alignment vertical="top" wrapText="1"/>
    </xf>
    <xf numFmtId="0" fontId="62" fillId="0" borderId="0" xfId="0" applyFont="1" applyAlignment="1">
      <alignment vertical="top"/>
    </xf>
    <xf numFmtId="0" fontId="67" fillId="0" borderId="0" xfId="0" applyFont="1" applyAlignment="1">
      <alignment vertical="top"/>
    </xf>
    <xf numFmtId="0" fontId="24" fillId="7" borderId="27" xfId="5" applyFont="1" applyFill="1" applyBorder="1" applyAlignment="1">
      <alignment horizontal="center" vertical="top" wrapText="1"/>
    </xf>
    <xf numFmtId="0" fontId="12" fillId="4" borderId="0" xfId="0" applyFont="1" applyFill="1"/>
    <xf numFmtId="0" fontId="0" fillId="4" borderId="0" xfId="0" applyFill="1"/>
    <xf numFmtId="0" fontId="68" fillId="4" borderId="0" xfId="0" applyFont="1" applyFill="1" applyAlignment="1">
      <alignment horizontal="left" vertical="center"/>
    </xf>
    <xf numFmtId="0" fontId="12" fillId="4" borderId="0" xfId="0" applyFont="1" applyFill="1" applyAlignment="1">
      <alignment horizontal="left" indent="1"/>
    </xf>
    <xf numFmtId="0" fontId="69" fillId="4" borderId="0" xfId="4" applyFont="1" applyFill="1" applyAlignment="1">
      <alignment vertical="top"/>
    </xf>
    <xf numFmtId="0" fontId="3" fillId="4" borderId="15" xfId="4" applyFont="1" applyFill="1" applyBorder="1" applyAlignment="1">
      <alignment horizontal="center" vertical="center"/>
    </xf>
    <xf numFmtId="0" fontId="36" fillId="4" borderId="0" xfId="4" applyFont="1" applyFill="1"/>
    <xf numFmtId="0" fontId="32" fillId="4" borderId="18" xfId="4" applyFont="1" applyFill="1" applyBorder="1" applyAlignment="1">
      <alignment horizontal="left" vertical="center"/>
    </xf>
    <xf numFmtId="0" fontId="32" fillId="4" borderId="18" xfId="4" applyFont="1" applyFill="1" applyBorder="1" applyAlignment="1">
      <alignment horizontal="left" vertical="center" wrapText="1"/>
    </xf>
    <xf numFmtId="0" fontId="32" fillId="4" borderId="28" xfId="4" applyFont="1" applyFill="1" applyBorder="1" applyAlignment="1">
      <alignment horizontal="left" vertical="center"/>
    </xf>
    <xf numFmtId="0" fontId="70" fillId="4" borderId="0" xfId="4" applyFont="1" applyFill="1" applyAlignment="1">
      <alignment vertical="top"/>
    </xf>
    <xf numFmtId="0" fontId="23" fillId="4" borderId="0" xfId="4" applyFont="1" applyFill="1" applyAlignment="1">
      <alignment vertical="top"/>
    </xf>
    <xf numFmtId="0" fontId="32" fillId="4" borderId="29" xfId="4" applyFont="1" applyFill="1" applyBorder="1" applyAlignment="1">
      <alignment horizontal="center" vertical="center" wrapText="1"/>
    </xf>
    <xf numFmtId="0" fontId="32" fillId="4" borderId="30" xfId="4" applyFont="1" applyFill="1" applyBorder="1" applyAlignment="1">
      <alignment horizontal="center" vertical="center" wrapText="1"/>
    </xf>
    <xf numFmtId="0" fontId="32" fillId="4" borderId="31" xfId="4" applyFont="1" applyFill="1" applyBorder="1" applyAlignment="1">
      <alignment horizontal="center" vertical="center" wrapText="1"/>
    </xf>
    <xf numFmtId="0" fontId="32" fillId="4" borderId="29" xfId="4" applyFont="1" applyFill="1" applyBorder="1" applyAlignment="1">
      <alignment horizontal="center" vertical="center"/>
    </xf>
    <xf numFmtId="0" fontId="37" fillId="4" borderId="30" xfId="4" applyFont="1" applyFill="1" applyBorder="1" applyAlignment="1">
      <alignment horizontal="center" vertical="center"/>
    </xf>
    <xf numFmtId="0" fontId="18" fillId="4" borderId="0" xfId="4" applyFont="1" applyFill="1" applyAlignment="1">
      <alignment vertical="top"/>
    </xf>
    <xf numFmtId="0" fontId="32" fillId="4" borderId="34" xfId="4" applyFont="1" applyFill="1" applyBorder="1" applyAlignment="1">
      <alignment horizontal="center" vertical="center"/>
    </xf>
    <xf numFmtId="0" fontId="32" fillId="4" borderId="34" xfId="0" applyFont="1" applyFill="1" applyBorder="1" applyAlignment="1">
      <alignment horizontal="center" vertical="center" wrapText="1"/>
    </xf>
    <xf numFmtId="0" fontId="32" fillId="4" borderId="7" xfId="0" applyFont="1" applyFill="1" applyBorder="1" applyAlignment="1">
      <alignment horizontal="center" vertical="center" wrapText="1"/>
    </xf>
    <xf numFmtId="0" fontId="36" fillId="4" borderId="7" xfId="4" applyFont="1" applyFill="1" applyBorder="1" applyAlignment="1">
      <alignment horizontal="left" vertical="center"/>
    </xf>
    <xf numFmtId="0" fontId="36" fillId="4" borderId="16" xfId="4" applyFont="1" applyFill="1" applyBorder="1" applyAlignment="1">
      <alignment horizontal="left" vertical="center"/>
    </xf>
    <xf numFmtId="16" fontId="23" fillId="4" borderId="16" xfId="4" applyNumberFormat="1" applyFont="1" applyFill="1" applyBorder="1" applyAlignment="1">
      <alignment vertical="top" wrapText="1"/>
    </xf>
    <xf numFmtId="49" fontId="36" fillId="4" borderId="17" xfId="4" applyNumberFormat="1" applyFont="1" applyFill="1" applyBorder="1" applyAlignment="1">
      <alignment horizontal="left" vertical="center"/>
    </xf>
    <xf numFmtId="0" fontId="23" fillId="4" borderId="18" xfId="4" applyFont="1" applyFill="1" applyBorder="1" applyAlignment="1">
      <alignment horizontal="left" vertical="center"/>
    </xf>
    <xf numFmtId="0" fontId="23" fillId="4" borderId="1" xfId="4" applyFont="1" applyFill="1" applyBorder="1" applyAlignment="1">
      <alignment horizontal="left" vertical="center"/>
    </xf>
    <xf numFmtId="16" fontId="23" fillId="4" borderId="1" xfId="4" applyNumberFormat="1" applyFont="1" applyFill="1" applyBorder="1" applyAlignment="1">
      <alignment vertical="top" wrapText="1"/>
    </xf>
    <xf numFmtId="49" fontId="36" fillId="4" borderId="14" xfId="4" applyNumberFormat="1" applyFont="1" applyFill="1" applyBorder="1" applyAlignment="1">
      <alignment horizontal="left" vertical="center"/>
    </xf>
    <xf numFmtId="0" fontId="23" fillId="4" borderId="35" xfId="4" applyFont="1" applyFill="1" applyBorder="1" applyAlignment="1">
      <alignment horizontal="left" vertical="center"/>
    </xf>
    <xf numFmtId="49" fontId="23" fillId="4" borderId="1" xfId="4" applyNumberFormat="1" applyFont="1" applyFill="1" applyBorder="1" applyAlignment="1">
      <alignment horizontal="left" vertical="center"/>
    </xf>
    <xf numFmtId="0" fontId="71" fillId="4" borderId="0" xfId="4" applyFont="1" applyFill="1"/>
    <xf numFmtId="0" fontId="23" fillId="4" borderId="36" xfId="4" applyFont="1" applyFill="1" applyBorder="1" applyAlignment="1">
      <alignment horizontal="left" vertical="center"/>
    </xf>
    <xf numFmtId="0" fontId="23" fillId="4" borderId="37" xfId="4" applyFont="1" applyFill="1" applyBorder="1" applyAlignment="1">
      <alignment horizontal="left" vertical="center"/>
    </xf>
    <xf numFmtId="0" fontId="23" fillId="4" borderId="38" xfId="4" applyFont="1" applyFill="1" applyBorder="1" applyAlignment="1">
      <alignment horizontal="left" vertical="center"/>
    </xf>
    <xf numFmtId="0" fontId="23" fillId="4" borderId="22" xfId="4" applyFont="1" applyFill="1" applyBorder="1" applyAlignment="1">
      <alignment horizontal="left" vertical="center"/>
    </xf>
    <xf numFmtId="16" fontId="23" fillId="4" borderId="22" xfId="4" applyNumberFormat="1" applyFont="1" applyFill="1" applyBorder="1" applyAlignment="1">
      <alignment vertical="top" wrapText="1"/>
    </xf>
    <xf numFmtId="49" fontId="36" fillId="4" borderId="23" xfId="4" applyNumberFormat="1" applyFont="1" applyFill="1" applyBorder="1" applyAlignment="1">
      <alignment horizontal="left" vertical="center"/>
    </xf>
    <xf numFmtId="0" fontId="32" fillId="4" borderId="6" xfId="4" applyFont="1" applyFill="1" applyBorder="1" applyAlignment="1">
      <alignment horizontal="center" vertical="center"/>
    </xf>
    <xf numFmtId="0" fontId="32" fillId="4" borderId="6" xfId="0" applyFont="1" applyFill="1" applyBorder="1" applyAlignment="1">
      <alignment horizontal="center" vertical="center" wrapText="1"/>
    </xf>
    <xf numFmtId="14" fontId="23" fillId="4" borderId="1" xfId="4" applyNumberFormat="1" applyFont="1" applyFill="1" applyBorder="1" applyAlignment="1">
      <alignment vertical="top" wrapText="1"/>
    </xf>
    <xf numFmtId="0" fontId="23" fillId="4" borderId="1" xfId="0" applyFont="1" applyFill="1" applyBorder="1" applyAlignment="1">
      <alignment vertical="center" wrapText="1"/>
    </xf>
    <xf numFmtId="0" fontId="60" fillId="4" borderId="0" xfId="4" applyFont="1" applyFill="1"/>
    <xf numFmtId="0" fontId="23" fillId="4" borderId="28" xfId="4" applyFont="1" applyFill="1" applyBorder="1" applyAlignment="1">
      <alignment horizontal="left" vertical="center"/>
    </xf>
    <xf numFmtId="14" fontId="23" fillId="4" borderId="22" xfId="4" applyNumberFormat="1" applyFont="1" applyFill="1" applyBorder="1" applyAlignment="1">
      <alignment vertical="top" wrapText="1"/>
    </xf>
    <xf numFmtId="0" fontId="65" fillId="4" borderId="0" xfId="0" applyFont="1" applyFill="1"/>
    <xf numFmtId="0" fontId="72" fillId="4" borderId="0" xfId="0" applyFont="1" applyFill="1" applyAlignment="1">
      <alignment horizontal="center" vertical="center"/>
    </xf>
    <xf numFmtId="0" fontId="73" fillId="4" borderId="0" xfId="6" applyFont="1" applyFill="1"/>
    <xf numFmtId="0" fontId="74" fillId="4" borderId="19" xfId="6" applyFont="1" applyFill="1" applyBorder="1" applyAlignment="1">
      <alignment horizontal="left" vertical="center"/>
    </xf>
    <xf numFmtId="0" fontId="46" fillId="4" borderId="20" xfId="6" applyFont="1" applyFill="1" applyBorder="1" applyAlignment="1">
      <alignment vertical="center"/>
    </xf>
    <xf numFmtId="0" fontId="46" fillId="4" borderId="21" xfId="6" applyFont="1" applyFill="1" applyBorder="1" applyAlignment="1">
      <alignment vertical="center"/>
    </xf>
    <xf numFmtId="0" fontId="3" fillId="0" borderId="0" xfId="0" applyFont="1" applyFill="1" applyAlignment="1">
      <alignment vertical="top"/>
    </xf>
    <xf numFmtId="0" fontId="1" fillId="0" borderId="0" xfId="0" applyFont="1" applyFill="1" applyAlignment="1">
      <alignment vertical="top"/>
    </xf>
    <xf numFmtId="0" fontId="4" fillId="0" borderId="0" xfId="0" applyFont="1" applyFill="1" applyAlignment="1">
      <alignment vertical="top"/>
    </xf>
    <xf numFmtId="0" fontId="0" fillId="0" borderId="0" xfId="0" applyFill="1" applyAlignment="1">
      <alignment vertical="top"/>
    </xf>
    <xf numFmtId="0" fontId="12" fillId="0" borderId="0" xfId="0" applyFont="1" applyFill="1" applyAlignment="1">
      <alignment vertical="top"/>
    </xf>
    <xf numFmtId="0" fontId="0" fillId="0" borderId="0" xfId="0" applyFill="1" applyAlignment="1">
      <alignment vertical="top" wrapText="1"/>
    </xf>
    <xf numFmtId="0" fontId="1" fillId="0" borderId="0" xfId="0" applyFont="1" applyFill="1" applyAlignment="1">
      <alignment vertical="top" wrapText="1"/>
    </xf>
    <xf numFmtId="0" fontId="4" fillId="0" borderId="0" xfId="0" applyFont="1" applyFill="1" applyAlignment="1">
      <alignment vertical="top" wrapText="1"/>
    </xf>
    <xf numFmtId="0" fontId="61" fillId="0" borderId="0" xfId="0" applyFont="1" applyFill="1" applyAlignment="1">
      <alignment vertical="top"/>
    </xf>
    <xf numFmtId="0" fontId="62" fillId="0" borderId="0" xfId="0" applyFont="1" applyFill="1" applyAlignment="1">
      <alignment vertical="top"/>
    </xf>
    <xf numFmtId="0" fontId="62" fillId="0" borderId="0" xfId="0" applyFont="1" applyFill="1" applyAlignment="1">
      <alignment vertical="top" wrapText="1"/>
    </xf>
    <xf numFmtId="0" fontId="1" fillId="3" borderId="1" xfId="0" applyFont="1" applyFill="1" applyBorder="1" applyAlignment="1">
      <alignment horizontal="left" vertical="top" wrapText="1" indent="1"/>
    </xf>
    <xf numFmtId="0" fontId="4" fillId="3"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23" fillId="10" borderId="40" xfId="0" applyFont="1" applyFill="1" applyBorder="1" applyAlignment="1">
      <alignment vertical="center" wrapText="1"/>
    </xf>
    <xf numFmtId="0" fontId="17" fillId="3" borderId="2" xfId="0" applyFont="1" applyFill="1" applyBorder="1"/>
    <xf numFmtId="0" fontId="17" fillId="3" borderId="9" xfId="0" applyFont="1" applyFill="1" applyBorder="1"/>
    <xf numFmtId="0" fontId="5" fillId="7" borderId="1" xfId="0" applyFont="1" applyFill="1" applyBorder="1" applyAlignment="1">
      <alignment horizontal="left" vertical="top" wrapText="1"/>
    </xf>
    <xf numFmtId="0" fontId="5" fillId="7" borderId="1" xfId="5" applyFont="1" applyFill="1" applyBorder="1" applyAlignment="1">
      <alignment horizontal="center" vertical="top" wrapText="1"/>
    </xf>
    <xf numFmtId="0" fontId="45" fillId="4" borderId="0" xfId="0" applyFont="1" applyFill="1" applyBorder="1"/>
    <xf numFmtId="0" fontId="11" fillId="12" borderId="1" xfId="0" applyFont="1" applyFill="1" applyBorder="1" applyAlignment="1">
      <alignment vertical="top" wrapText="1"/>
    </xf>
    <xf numFmtId="0" fontId="4" fillId="5" borderId="1" xfId="0" applyFont="1" applyFill="1" applyBorder="1" applyAlignment="1">
      <alignment vertical="top" wrapText="1"/>
    </xf>
    <xf numFmtId="0" fontId="1" fillId="12" borderId="1" xfId="5" applyFont="1" applyFill="1" applyBorder="1" applyAlignment="1">
      <alignment vertical="top" wrapText="1"/>
    </xf>
    <xf numFmtId="0" fontId="4" fillId="12" borderId="1" xfId="5" applyFont="1" applyFill="1" applyBorder="1" applyAlignment="1">
      <alignment vertical="top" wrapText="1"/>
    </xf>
    <xf numFmtId="0" fontId="1" fillId="3" borderId="1" xfId="5" applyFont="1" applyFill="1" applyBorder="1" applyAlignment="1">
      <alignment vertical="top" wrapText="1"/>
    </xf>
    <xf numFmtId="0" fontId="4" fillId="3" borderId="1" xfId="5" applyFont="1" applyFill="1" applyBorder="1" applyAlignment="1">
      <alignment vertical="top" wrapText="1"/>
    </xf>
    <xf numFmtId="0" fontId="31" fillId="0" borderId="0" xfId="4" applyFont="1"/>
    <xf numFmtId="0" fontId="0" fillId="0" borderId="0" xfId="0" applyFont="1" applyFill="1" applyAlignment="1">
      <alignment vertical="top" wrapText="1"/>
    </xf>
    <xf numFmtId="0" fontId="0" fillId="0" borderId="0" xfId="0" applyFill="1" applyAlignment="1">
      <alignment horizontal="left" vertical="top"/>
    </xf>
    <xf numFmtId="0" fontId="11" fillId="0" borderId="0" xfId="0" applyFont="1" applyFill="1" applyAlignment="1">
      <alignment vertical="top"/>
    </xf>
    <xf numFmtId="0" fontId="11" fillId="0" borderId="0" xfId="0" applyFont="1" applyFill="1" applyAlignment="1">
      <alignment vertical="top" wrapText="1"/>
    </xf>
    <xf numFmtId="0" fontId="11" fillId="0" borderId="0" xfId="0" applyFont="1" applyFill="1" applyAlignment="1">
      <alignment horizontal="right" vertical="top"/>
    </xf>
    <xf numFmtId="49" fontId="0" fillId="3" borderId="1" xfId="0" applyNumberFormat="1" applyFill="1" applyBorder="1" applyAlignment="1" applyProtection="1">
      <alignment horizontal="center" vertical="top"/>
      <protection locked="0"/>
    </xf>
    <xf numFmtId="0" fontId="11" fillId="0" borderId="0" xfId="0" applyFont="1" applyAlignment="1">
      <alignment vertical="top" wrapText="1"/>
    </xf>
    <xf numFmtId="0" fontId="1" fillId="5" borderId="1" xfId="0" applyFont="1" applyFill="1" applyBorder="1" applyAlignment="1">
      <alignment horizontal="center" vertical="top" wrapText="1"/>
    </xf>
    <xf numFmtId="14" fontId="23" fillId="4" borderId="55" xfId="4" applyNumberFormat="1" applyFont="1" applyFill="1" applyBorder="1" applyAlignment="1">
      <alignment horizontal="left" vertical="top" wrapText="1"/>
    </xf>
    <xf numFmtId="0" fontId="23" fillId="4" borderId="55" xfId="4" applyFont="1" applyFill="1" applyBorder="1" applyAlignment="1">
      <alignment vertical="top" wrapText="1"/>
    </xf>
    <xf numFmtId="0" fontId="23" fillId="4" borderId="56" xfId="4" applyFont="1" applyFill="1" applyBorder="1" applyAlignment="1">
      <alignment vertical="top" wrapText="1"/>
    </xf>
    <xf numFmtId="14" fontId="23" fillId="4" borderId="1" xfId="4" applyNumberFormat="1" applyFont="1" applyFill="1" applyBorder="1" applyAlignment="1">
      <alignment horizontal="left" vertical="top" wrapText="1"/>
    </xf>
    <xf numFmtId="49" fontId="23" fillId="4" borderId="13" xfId="4" applyNumberFormat="1" applyFont="1" applyFill="1" applyBorder="1" applyAlignment="1">
      <alignment horizontal="left" vertical="top" wrapText="1"/>
    </xf>
    <xf numFmtId="14" fontId="23" fillId="4" borderId="12" xfId="4" applyNumberFormat="1" applyFont="1" applyFill="1" applyBorder="1" applyAlignment="1">
      <alignment horizontal="left" vertical="top" wrapText="1"/>
    </xf>
    <xf numFmtId="0" fontId="23" fillId="4" borderId="11" xfId="4" applyFont="1" applyFill="1" applyBorder="1" applyAlignment="1">
      <alignment vertical="top" wrapText="1"/>
    </xf>
    <xf numFmtId="49" fontId="23" fillId="4" borderId="18" xfId="4" applyNumberFormat="1" applyFont="1" applyFill="1" applyBorder="1" applyAlignment="1">
      <alignment horizontal="left" vertical="top" wrapText="1"/>
    </xf>
    <xf numFmtId="0" fontId="23" fillId="4" borderId="14" xfId="4" applyFont="1" applyFill="1" applyBorder="1" applyAlignment="1">
      <alignment vertical="top" wrapText="1"/>
    </xf>
    <xf numFmtId="0" fontId="52" fillId="19" borderId="1" xfId="0" applyFont="1" applyFill="1" applyBorder="1" applyAlignment="1">
      <alignment vertical="top" wrapText="1"/>
    </xf>
    <xf numFmtId="14" fontId="23" fillId="4" borderId="50" xfId="4" applyNumberFormat="1" applyFont="1" applyFill="1" applyBorder="1" applyAlignment="1">
      <alignment horizontal="left" vertical="top" wrapText="1"/>
    </xf>
    <xf numFmtId="14" fontId="23" fillId="4" borderId="32" xfId="4" applyNumberFormat="1" applyFont="1" applyFill="1" applyBorder="1" applyAlignment="1">
      <alignment horizontal="left" vertical="top" wrapText="1"/>
    </xf>
    <xf numFmtId="0" fontId="0" fillId="12" borderId="1" xfId="0" applyFont="1" applyFill="1" applyBorder="1" applyAlignment="1">
      <alignment vertical="top" wrapText="1"/>
    </xf>
    <xf numFmtId="14" fontId="12" fillId="20" borderId="1" xfId="0" applyNumberFormat="1" applyFont="1" applyFill="1" applyBorder="1" applyAlignment="1">
      <alignment vertical="top" wrapText="1"/>
    </xf>
    <xf numFmtId="14" fontId="12" fillId="12" borderId="1" xfId="5" applyNumberFormat="1" applyFill="1" applyBorder="1" applyAlignment="1">
      <alignment vertical="top" wrapText="1"/>
    </xf>
    <xf numFmtId="0" fontId="0" fillId="12" borderId="1" xfId="0" applyNumberFormat="1" applyFont="1" applyFill="1" applyBorder="1" applyAlignment="1">
      <alignment vertical="top" wrapText="1"/>
    </xf>
    <xf numFmtId="14" fontId="0" fillId="12" borderId="1" xfId="0" applyNumberFormat="1" applyFill="1" applyBorder="1" applyAlignment="1">
      <alignment vertical="top" wrapText="1"/>
    </xf>
    <xf numFmtId="0" fontId="45" fillId="0" borderId="0" xfId="0" applyFont="1"/>
    <xf numFmtId="0" fontId="1" fillId="0" borderId="0" xfId="5" applyFont="1" applyAlignment="1">
      <alignment horizontal="center" vertical="top"/>
    </xf>
    <xf numFmtId="0" fontId="12" fillId="0" borderId="0" xfId="5" applyFont="1" applyAlignment="1">
      <alignment vertical="top"/>
    </xf>
    <xf numFmtId="0" fontId="11" fillId="0" borderId="0" xfId="5" applyFont="1" applyAlignment="1">
      <alignment horizontal="center" vertical="top"/>
    </xf>
    <xf numFmtId="0" fontId="12" fillId="0" borderId="0" xfId="5" applyFont="1" applyAlignment="1" applyProtection="1">
      <alignment vertical="top"/>
      <protection locked="0"/>
    </xf>
    <xf numFmtId="0" fontId="4" fillId="0" borderId="0" xfId="5" applyFont="1" applyAlignment="1" applyProtection="1">
      <alignment vertical="top"/>
      <protection locked="0"/>
    </xf>
    <xf numFmtId="0" fontId="1" fillId="7" borderId="1" xfId="5" applyFont="1" applyFill="1" applyBorder="1" applyAlignment="1">
      <alignment horizontal="center" vertical="top" wrapText="1"/>
    </xf>
    <xf numFmtId="0" fontId="52" fillId="7" borderId="1" xfId="5" applyFont="1" applyFill="1" applyBorder="1" applyAlignment="1">
      <alignment vertical="top" wrapText="1"/>
    </xf>
    <xf numFmtId="0" fontId="55" fillId="7" borderId="1" xfId="5" applyFont="1" applyFill="1" applyBorder="1" applyAlignment="1">
      <alignment vertical="top" wrapText="1"/>
    </xf>
    <xf numFmtId="0" fontId="54" fillId="7" borderId="1" xfId="5" applyFont="1" applyFill="1" applyBorder="1" applyAlignment="1" applyProtection="1">
      <alignment vertical="top" wrapText="1"/>
    </xf>
    <xf numFmtId="0" fontId="52" fillId="7" borderId="1" xfId="5" applyFont="1" applyFill="1" applyBorder="1" applyAlignment="1">
      <alignment horizontal="center" vertical="top" wrapText="1"/>
    </xf>
    <xf numFmtId="0" fontId="1" fillId="2" borderId="1" xfId="5" applyFont="1" applyFill="1" applyBorder="1" applyAlignment="1">
      <alignment horizontal="center" vertical="top" wrapText="1"/>
    </xf>
    <xf numFmtId="0" fontId="52" fillId="23" borderId="1" xfId="5" applyFont="1" applyFill="1" applyBorder="1" applyAlignment="1">
      <alignment vertical="top" wrapText="1"/>
    </xf>
    <xf numFmtId="0" fontId="55" fillId="23" borderId="1" xfId="5" applyFont="1" applyFill="1" applyBorder="1" applyAlignment="1">
      <alignment vertical="top" wrapText="1"/>
    </xf>
    <xf numFmtId="0" fontId="56" fillId="7" borderId="1" xfId="5" applyFont="1" applyFill="1" applyBorder="1" applyAlignment="1" applyProtection="1">
      <alignment horizontal="right" vertical="top" wrapText="1"/>
    </xf>
    <xf numFmtId="0" fontId="60" fillId="0" borderId="0" xfId="5" applyFont="1" applyAlignment="1">
      <alignment vertical="top" wrapText="1"/>
    </xf>
    <xf numFmtId="0" fontId="1" fillId="12" borderId="1" xfId="5" applyFont="1" applyFill="1" applyBorder="1" applyAlignment="1" applyProtection="1">
      <alignment vertical="top" wrapText="1"/>
      <protection locked="0"/>
    </xf>
    <xf numFmtId="0" fontId="12" fillId="0" borderId="0" xfId="5" applyFont="1" applyFill="1" applyAlignment="1">
      <alignment vertical="top" wrapText="1"/>
    </xf>
    <xf numFmtId="0" fontId="1" fillId="3" borderId="1" xfId="5" applyFont="1" applyFill="1" applyBorder="1" applyAlignment="1" applyProtection="1">
      <alignment vertical="top" wrapText="1"/>
      <protection locked="0"/>
    </xf>
    <xf numFmtId="0" fontId="12" fillId="24" borderId="1" xfId="5" applyFont="1" applyFill="1" applyBorder="1" applyAlignment="1">
      <alignment vertical="top" wrapText="1"/>
    </xf>
    <xf numFmtId="0" fontId="12" fillId="3" borderId="1" xfId="5" applyFont="1" applyFill="1" applyBorder="1" applyAlignment="1" applyProtection="1">
      <alignment vertical="top" wrapText="1"/>
      <protection locked="0"/>
    </xf>
    <xf numFmtId="0" fontId="4" fillId="26" borderId="1" xfId="5" applyFont="1" applyFill="1" applyBorder="1" applyAlignment="1">
      <alignment vertical="top" wrapText="1"/>
    </xf>
    <xf numFmtId="0" fontId="12" fillId="0" borderId="0" xfId="5" applyFont="1" applyAlignment="1" applyProtection="1">
      <alignment vertical="top" wrapText="1"/>
      <protection locked="0"/>
    </xf>
    <xf numFmtId="0" fontId="1" fillId="0" borderId="0" xfId="5" applyFont="1" applyAlignment="1">
      <alignment horizontal="center" vertical="top" wrapText="1"/>
    </xf>
    <xf numFmtId="0" fontId="17" fillId="0" borderId="0" xfId="5" applyFont="1" applyAlignment="1">
      <alignment vertical="top"/>
    </xf>
    <xf numFmtId="0" fontId="12" fillId="0" borderId="0" xfId="5" applyFont="1" applyBorder="1" applyAlignment="1">
      <alignment vertical="top"/>
    </xf>
    <xf numFmtId="0" fontId="1" fillId="0" borderId="0" xfId="5" applyFont="1" applyBorder="1" applyAlignment="1">
      <alignment vertical="top"/>
    </xf>
    <xf numFmtId="0" fontId="1" fillId="0" borderId="0" xfId="5" applyFont="1" applyBorder="1" applyAlignment="1" applyProtection="1">
      <alignment vertical="top"/>
      <protection locked="0"/>
    </xf>
    <xf numFmtId="0" fontId="1" fillId="0" borderId="0" xfId="5" applyFont="1" applyBorder="1" applyAlignment="1">
      <alignment horizontal="center" vertical="top"/>
    </xf>
    <xf numFmtId="0" fontId="17" fillId="0" borderId="0" xfId="5" applyFont="1" applyBorder="1" applyAlignment="1">
      <alignment vertical="top"/>
    </xf>
    <xf numFmtId="0" fontId="12" fillId="0" borderId="0" xfId="5" applyFont="1" applyBorder="1" applyAlignment="1" applyProtection="1">
      <alignment vertical="top"/>
      <protection locked="0"/>
    </xf>
    <xf numFmtId="0" fontId="52" fillId="7" borderId="1" xfId="5" applyFont="1" applyFill="1" applyBorder="1" applyAlignment="1" applyProtection="1">
      <alignment vertical="top" wrapText="1"/>
    </xf>
    <xf numFmtId="0" fontId="11" fillId="3" borderId="1" xfId="5" applyFont="1" applyFill="1" applyBorder="1" applyAlignment="1">
      <alignment vertical="top" wrapText="1"/>
    </xf>
    <xf numFmtId="0" fontId="1" fillId="3" borderId="32" xfId="5" applyFont="1" applyFill="1" applyBorder="1" applyAlignment="1">
      <alignment horizontal="left" vertical="top" wrapText="1"/>
    </xf>
    <xf numFmtId="0" fontId="1" fillId="3" borderId="1" xfId="6" applyFont="1" applyFill="1" applyBorder="1" applyAlignment="1">
      <alignment vertical="top" wrapText="1"/>
    </xf>
    <xf numFmtId="0" fontId="11" fillId="3" borderId="1" xfId="6" applyFont="1" applyFill="1" applyBorder="1" applyAlignment="1">
      <alignment vertical="top" wrapText="1"/>
    </xf>
    <xf numFmtId="0" fontId="4" fillId="3" borderId="1" xfId="6" applyFont="1" applyFill="1" applyBorder="1" applyAlignment="1">
      <alignment vertical="top" wrapText="1"/>
    </xf>
    <xf numFmtId="0" fontId="11" fillId="12" borderId="1" xfId="5" applyFont="1" applyFill="1" applyBorder="1" applyAlignment="1">
      <alignment vertical="top" wrapText="1"/>
    </xf>
    <xf numFmtId="0" fontId="51" fillId="26" borderId="1" xfId="6" applyFont="1" applyFill="1" applyBorder="1" applyAlignment="1">
      <alignment vertical="top" wrapText="1"/>
    </xf>
    <xf numFmtId="0" fontId="45" fillId="26" borderId="1" xfId="6" applyFont="1" applyFill="1" applyBorder="1"/>
    <xf numFmtId="0" fontId="12" fillId="3" borderId="1" xfId="6" applyFont="1" applyFill="1" applyBorder="1" applyAlignment="1" applyProtection="1">
      <alignment vertical="top" wrapText="1"/>
      <protection locked="0"/>
    </xf>
    <xf numFmtId="0" fontId="45" fillId="3" borderId="1" xfId="6" applyFont="1" applyFill="1" applyBorder="1" applyAlignment="1" applyProtection="1">
      <alignment vertical="top" wrapText="1"/>
      <protection locked="0"/>
    </xf>
    <xf numFmtId="0" fontId="45" fillId="4" borderId="0" xfId="6" applyFont="1" applyFill="1" applyAlignment="1">
      <alignment vertical="top" wrapText="1"/>
    </xf>
    <xf numFmtId="49" fontId="1" fillId="3" borderId="1" xfId="0" applyNumberFormat="1" applyFont="1" applyFill="1" applyBorder="1" applyAlignment="1">
      <alignment vertical="top" wrapText="1"/>
    </xf>
    <xf numFmtId="0" fontId="81" fillId="0" borderId="3" xfId="6" applyFont="1" applyBorder="1" applyAlignment="1">
      <alignment vertical="top"/>
    </xf>
    <xf numFmtId="0" fontId="51" fillId="0" borderId="0" xfId="6" applyFont="1" applyBorder="1" applyAlignment="1">
      <alignment vertical="top"/>
    </xf>
    <xf numFmtId="0" fontId="45" fillId="0" borderId="9" xfId="6" applyFont="1" applyBorder="1" applyAlignment="1">
      <alignment vertical="top"/>
    </xf>
    <xf numFmtId="0" fontId="62" fillId="0" borderId="3" xfId="6" applyFont="1" applyBorder="1" applyAlignment="1">
      <alignment vertical="top"/>
    </xf>
    <xf numFmtId="0" fontId="46" fillId="0" borderId="9" xfId="6" applyFont="1" applyBorder="1" applyAlignment="1">
      <alignment vertical="top"/>
    </xf>
    <xf numFmtId="0" fontId="46" fillId="0" borderId="3" xfId="6" applyFont="1" applyBorder="1" applyAlignment="1">
      <alignment vertical="top"/>
    </xf>
    <xf numFmtId="0" fontId="46" fillId="0" borderId="38" xfId="6" applyFont="1" applyBorder="1" applyAlignment="1">
      <alignment vertical="top"/>
    </xf>
    <xf numFmtId="0" fontId="46" fillId="27" borderId="16" xfId="6" applyFont="1" applyFill="1" applyBorder="1" applyAlignment="1">
      <alignment horizontal="center" vertical="top" wrapText="1"/>
    </xf>
    <xf numFmtId="0" fontId="12" fillId="12" borderId="1" xfId="5" applyFont="1" applyFill="1" applyBorder="1" applyAlignment="1">
      <alignment vertical="top" wrapText="1"/>
    </xf>
    <xf numFmtId="0" fontId="12" fillId="12" borderId="1" xfId="6" applyFont="1" applyFill="1" applyBorder="1" applyAlignment="1">
      <alignment vertical="top" wrapText="1"/>
    </xf>
    <xf numFmtId="0" fontId="12" fillId="25" borderId="1" xfId="5" applyFont="1" applyFill="1" applyBorder="1" applyAlignment="1">
      <alignment vertical="top" wrapText="1"/>
    </xf>
    <xf numFmtId="0" fontId="23" fillId="4" borderId="54" xfId="4" applyNumberFormat="1" applyFont="1" applyFill="1" applyBorder="1" applyAlignment="1">
      <alignment horizontal="left" vertical="top" wrapText="1"/>
    </xf>
    <xf numFmtId="0" fontId="36" fillId="4" borderId="33" xfId="4" applyFont="1" applyFill="1" applyBorder="1" applyAlignment="1">
      <alignment vertical="top"/>
    </xf>
    <xf numFmtId="0" fontId="36" fillId="4" borderId="1" xfId="4" applyFont="1" applyFill="1" applyBorder="1" applyAlignment="1">
      <alignment vertical="top"/>
    </xf>
    <xf numFmtId="0" fontId="36" fillId="4" borderId="18" xfId="4" applyFont="1" applyFill="1" applyBorder="1" applyAlignment="1">
      <alignment vertical="top"/>
    </xf>
    <xf numFmtId="0" fontId="36" fillId="4" borderId="1" xfId="4" applyFont="1" applyFill="1" applyBorder="1" applyAlignment="1">
      <alignment vertical="top" wrapText="1"/>
    </xf>
    <xf numFmtId="0" fontId="36" fillId="4" borderId="28" xfId="4" applyFont="1" applyFill="1" applyBorder="1" applyAlignment="1">
      <alignment vertical="top"/>
    </xf>
    <xf numFmtId="0" fontId="36" fillId="4" borderId="22" xfId="4" applyFont="1" applyFill="1" applyBorder="1" applyAlignment="1">
      <alignment vertical="top"/>
    </xf>
    <xf numFmtId="0" fontId="36" fillId="4" borderId="15" xfId="4" applyFont="1" applyFill="1" applyBorder="1" applyAlignment="1">
      <alignment vertical="top"/>
    </xf>
    <xf numFmtId="0" fontId="36" fillId="4" borderId="16" xfId="4" applyFont="1" applyFill="1" applyBorder="1" applyAlignment="1">
      <alignment vertical="top"/>
    </xf>
    <xf numFmtId="0" fontId="56" fillId="7" borderId="1" xfId="5" applyFont="1" applyFill="1" applyBorder="1" applyAlignment="1" applyProtection="1">
      <alignment horizontal="center" vertical="center" wrapText="1"/>
    </xf>
    <xf numFmtId="0" fontId="56" fillId="7" borderId="1" xfId="5" applyFont="1" applyFill="1" applyBorder="1" applyAlignment="1" applyProtection="1">
      <alignment horizontal="center" vertical="top" wrapText="1"/>
    </xf>
    <xf numFmtId="0" fontId="12" fillId="25" borderId="1" xfId="0" applyFont="1" applyFill="1" applyBorder="1" applyAlignment="1" applyProtection="1">
      <alignment vertical="top"/>
      <protection locked="0"/>
    </xf>
    <xf numFmtId="0" fontId="12" fillId="3" borderId="1" xfId="0" applyFont="1" applyFill="1" applyBorder="1" applyAlignment="1" applyProtection="1">
      <alignment vertical="top"/>
      <protection locked="0"/>
    </xf>
    <xf numFmtId="0" fontId="12" fillId="12" borderId="1" xfId="0" applyFont="1" applyFill="1" applyBorder="1" applyAlignment="1" applyProtection="1">
      <alignment vertical="top"/>
      <protection locked="0"/>
    </xf>
    <xf numFmtId="0" fontId="0" fillId="3" borderId="1" xfId="0" applyFont="1" applyFill="1" applyBorder="1" applyAlignment="1">
      <alignment vertical="top" wrapText="1"/>
    </xf>
    <xf numFmtId="0" fontId="12" fillId="3" borderId="1" xfId="0" applyFont="1" applyFill="1" applyBorder="1" applyAlignment="1">
      <alignment vertical="top" wrapText="1"/>
    </xf>
    <xf numFmtId="0" fontId="61" fillId="3" borderId="1" xfId="0" applyFont="1" applyFill="1" applyBorder="1" applyAlignment="1">
      <alignment vertical="top" wrapText="1"/>
    </xf>
    <xf numFmtId="0" fontId="61" fillId="3" borderId="1" xfId="5" applyFont="1" applyFill="1" applyBorder="1" applyAlignment="1">
      <alignment vertical="top" wrapText="1"/>
    </xf>
    <xf numFmtId="0" fontId="32" fillId="10" borderId="25" xfId="5" applyFont="1" applyFill="1" applyBorder="1" applyAlignment="1">
      <alignment vertical="center" wrapText="1"/>
    </xf>
    <xf numFmtId="0" fontId="32" fillId="10" borderId="39" xfId="5" applyFont="1" applyFill="1" applyBorder="1" applyAlignment="1">
      <alignment vertical="center" wrapText="1"/>
    </xf>
    <xf numFmtId="0" fontId="1" fillId="12" borderId="41" xfId="5" applyFont="1" applyFill="1" applyBorder="1" applyAlignment="1">
      <alignment vertical="top" wrapText="1"/>
    </xf>
    <xf numFmtId="0" fontId="1" fillId="12" borderId="42" xfId="5" applyFont="1" applyFill="1" applyBorder="1" applyAlignment="1">
      <alignment vertical="top" wrapText="1"/>
    </xf>
    <xf numFmtId="0" fontId="1" fillId="12" borderId="43" xfId="5" applyFont="1" applyFill="1" applyBorder="1" applyAlignment="1">
      <alignment vertical="top" wrapText="1"/>
    </xf>
    <xf numFmtId="0" fontId="1" fillId="12" borderId="44" xfId="5" applyFont="1" applyFill="1" applyBorder="1" applyAlignment="1">
      <alignment vertical="top" wrapText="1"/>
    </xf>
    <xf numFmtId="0" fontId="1" fillId="12" borderId="45" xfId="5" applyFont="1" applyFill="1" applyBorder="1" applyAlignment="1">
      <alignment vertical="top" wrapText="1"/>
    </xf>
    <xf numFmtId="0" fontId="1" fillId="12" borderId="46" xfId="5" applyFont="1" applyFill="1" applyBorder="1" applyAlignment="1">
      <alignment vertical="top" wrapText="1"/>
    </xf>
    <xf numFmtId="49" fontId="0" fillId="12" borderId="1" xfId="0" applyNumberFormat="1" applyFill="1" applyBorder="1" applyAlignment="1" applyProtection="1">
      <alignment horizontal="center" vertical="top"/>
      <protection locked="0"/>
    </xf>
    <xf numFmtId="0" fontId="46" fillId="3" borderId="18" xfId="6" applyFont="1" applyFill="1" applyBorder="1" applyAlignment="1">
      <alignment vertical="top" wrapText="1"/>
    </xf>
    <xf numFmtId="0" fontId="46" fillId="3" borderId="1" xfId="6" applyFont="1" applyFill="1" applyBorder="1" applyAlignment="1">
      <alignment horizontal="left" vertical="top" wrapText="1"/>
    </xf>
    <xf numFmtId="0" fontId="51" fillId="3" borderId="1" xfId="6" applyFont="1" applyFill="1" applyBorder="1" applyAlignment="1">
      <alignment vertical="top" wrapText="1"/>
    </xf>
    <xf numFmtId="0" fontId="51" fillId="3" borderId="0" xfId="6" applyFont="1" applyFill="1" applyBorder="1" applyAlignment="1">
      <alignment vertical="top" wrapText="1"/>
    </xf>
    <xf numFmtId="0" fontId="75" fillId="3" borderId="19" xfId="6" applyFont="1" applyFill="1" applyBorder="1" applyAlignment="1">
      <alignment horizontal="center" vertical="center" wrapText="1"/>
    </xf>
    <xf numFmtId="0" fontId="80" fillId="3" borderId="20" xfId="6" applyFont="1" applyFill="1" applyBorder="1" applyAlignment="1">
      <alignment horizontal="center" vertical="center" wrapText="1"/>
    </xf>
    <xf numFmtId="0" fontId="51" fillId="3" borderId="21" xfId="6" applyFont="1" applyFill="1" applyBorder="1" applyAlignment="1">
      <alignment horizontal="center" vertical="center" wrapText="1"/>
    </xf>
    <xf numFmtId="0" fontId="62" fillId="3" borderId="7" xfId="6" applyFont="1" applyFill="1" applyBorder="1" applyAlignment="1">
      <alignment vertical="top"/>
    </xf>
    <xf numFmtId="0" fontId="45" fillId="3" borderId="2" xfId="6" applyFont="1" applyFill="1" applyBorder="1" applyAlignment="1">
      <alignment vertical="top" wrapText="1"/>
    </xf>
    <xf numFmtId="0" fontId="45" fillId="3" borderId="8" xfId="6" applyFont="1" applyFill="1" applyBorder="1" applyAlignment="1">
      <alignment vertical="top" wrapText="1"/>
    </xf>
    <xf numFmtId="0" fontId="62" fillId="3" borderId="3" xfId="6" applyFont="1" applyFill="1" applyBorder="1" applyAlignment="1">
      <alignment vertical="top"/>
    </xf>
    <xf numFmtId="0" fontId="45" fillId="3" borderId="0" xfId="6" applyFont="1" applyFill="1" applyBorder="1" applyAlignment="1">
      <alignment vertical="top" wrapText="1"/>
    </xf>
    <xf numFmtId="0" fontId="45" fillId="3" borderId="9" xfId="6" applyFont="1" applyFill="1" applyBorder="1" applyAlignment="1">
      <alignment vertical="top" wrapText="1"/>
    </xf>
    <xf numFmtId="0" fontId="46" fillId="3" borderId="3" xfId="6" applyFont="1" applyFill="1" applyBorder="1" applyAlignment="1">
      <alignment vertical="top"/>
    </xf>
    <xf numFmtId="0" fontId="1" fillId="3" borderId="4" xfId="6" applyFont="1" applyFill="1" applyBorder="1" applyAlignment="1">
      <alignment vertical="top"/>
    </xf>
    <xf numFmtId="0" fontId="45" fillId="3" borderId="5" xfId="6" applyFont="1" applyFill="1" applyBorder="1" applyAlignment="1">
      <alignment vertical="top" wrapText="1"/>
    </xf>
    <xf numFmtId="0" fontId="45" fillId="3" borderId="10" xfId="6" applyFont="1" applyFill="1" applyBorder="1" applyAlignment="1">
      <alignment vertical="top" wrapText="1"/>
    </xf>
    <xf numFmtId="0" fontId="46" fillId="3" borderId="3" xfId="6" applyFont="1" applyFill="1" applyBorder="1" applyAlignment="1">
      <alignment horizontal="left" vertical="top"/>
    </xf>
    <xf numFmtId="0" fontId="46" fillId="3" borderId="2" xfId="6" applyFont="1" applyFill="1" applyBorder="1" applyAlignment="1">
      <alignment horizontal="left" vertical="top"/>
    </xf>
    <xf numFmtId="0" fontId="45" fillId="3" borderId="2" xfId="6" applyFont="1" applyFill="1" applyBorder="1" applyAlignment="1">
      <alignment horizontal="left" vertical="top"/>
    </xf>
    <xf numFmtId="0" fontId="45" fillId="3" borderId="8" xfId="6" applyFont="1" applyFill="1" applyBorder="1" applyAlignment="1">
      <alignment horizontal="left" vertical="top"/>
    </xf>
    <xf numFmtId="0" fontId="4" fillId="12" borderId="25" xfId="5" applyFont="1" applyFill="1" applyBorder="1" applyAlignment="1">
      <alignment vertical="top" wrapText="1"/>
    </xf>
    <xf numFmtId="0" fontId="4" fillId="3" borderId="25" xfId="5" applyFont="1" applyFill="1" applyBorder="1" applyAlignment="1">
      <alignment vertical="top" wrapText="1"/>
    </xf>
    <xf numFmtId="0" fontId="11" fillId="0" borderId="0" xfId="0" applyFont="1" applyFill="1" applyAlignment="1">
      <alignment horizontal="center" vertical="top" wrapText="1"/>
    </xf>
    <xf numFmtId="0" fontId="18" fillId="0" borderId="0" xfId="0" applyFont="1" applyFill="1" applyAlignment="1">
      <alignment vertical="top" wrapText="1"/>
    </xf>
    <xf numFmtId="0" fontId="18" fillId="0" borderId="0" xfId="0" applyFont="1" applyFill="1" applyAlignment="1">
      <alignment vertical="top"/>
    </xf>
    <xf numFmtId="0" fontId="45" fillId="0" borderId="0" xfId="0" applyFont="1" applyAlignment="1">
      <alignment vertical="top"/>
    </xf>
    <xf numFmtId="0" fontId="46" fillId="0" borderId="0" xfId="0" applyFont="1" applyAlignment="1">
      <alignment vertical="top"/>
    </xf>
    <xf numFmtId="0" fontId="84" fillId="16" borderId="0" xfId="8" applyFont="1" applyFill="1" applyAlignment="1"/>
    <xf numFmtId="0" fontId="31" fillId="16" borderId="0" xfId="8" applyFont="1" applyFill="1"/>
    <xf numFmtId="0" fontId="1" fillId="2" borderId="37" xfId="0" applyFont="1" applyFill="1" applyBorder="1" applyAlignment="1">
      <alignment horizontal="center" vertical="top" wrapText="1"/>
    </xf>
    <xf numFmtId="0" fontId="66" fillId="28" borderId="1" xfId="5" applyFont="1" applyFill="1" applyBorder="1" applyAlignment="1">
      <alignment vertical="top" wrapText="1"/>
    </xf>
    <xf numFmtId="0" fontId="12" fillId="22" borderId="1" xfId="5" applyFont="1" applyFill="1" applyBorder="1" applyAlignment="1" applyProtection="1">
      <alignment horizontal="left" vertical="top" wrapText="1" shrinkToFit="1"/>
    </xf>
    <xf numFmtId="49" fontId="0" fillId="22" borderId="1" xfId="0" applyNumberFormat="1" applyFill="1" applyBorder="1" applyAlignment="1" applyProtection="1">
      <alignment horizontal="center" vertical="top"/>
      <protection locked="0"/>
    </xf>
    <xf numFmtId="0" fontId="31" fillId="22" borderId="1" xfId="4" applyFont="1" applyFill="1" applyBorder="1" applyAlignment="1">
      <alignment vertical="top"/>
    </xf>
    <xf numFmtId="0" fontId="12" fillId="22" borderId="1" xfId="5" applyFont="1" applyFill="1" applyBorder="1" applyAlignment="1">
      <alignment vertical="top" wrapText="1"/>
    </xf>
    <xf numFmtId="0" fontId="12" fillId="22" borderId="1" xfId="0" applyFont="1" applyFill="1" applyBorder="1" applyAlignment="1" applyProtection="1">
      <alignment horizontal="left" vertical="top" wrapText="1"/>
    </xf>
    <xf numFmtId="14" fontId="36" fillId="4" borderId="14" xfId="4" applyNumberFormat="1" applyFont="1" applyFill="1" applyBorder="1" applyAlignment="1">
      <alignment horizontal="left" vertical="center"/>
    </xf>
    <xf numFmtId="14" fontId="36" fillId="4" borderId="23" xfId="4" applyNumberFormat="1" applyFont="1" applyFill="1" applyBorder="1" applyAlignment="1">
      <alignment horizontal="left" vertical="center"/>
    </xf>
    <xf numFmtId="0" fontId="51" fillId="28" borderId="1" xfId="5" applyFont="1" applyFill="1" applyBorder="1" applyAlignment="1">
      <alignment vertical="top" wrapText="1"/>
    </xf>
    <xf numFmtId="0" fontId="51" fillId="12" borderId="1" xfId="5" applyFont="1" applyFill="1" applyBorder="1" applyAlignment="1">
      <alignment vertical="top" wrapText="1"/>
    </xf>
    <xf numFmtId="0" fontId="46" fillId="28" borderId="1" xfId="5" applyFont="1" applyFill="1" applyBorder="1" applyAlignment="1">
      <alignment vertical="top" wrapText="1"/>
    </xf>
    <xf numFmtId="0" fontId="85" fillId="3" borderId="1" xfId="6" applyFont="1" applyFill="1" applyBorder="1" applyAlignment="1">
      <alignment vertical="top" wrapText="1"/>
    </xf>
    <xf numFmtId="0" fontId="1" fillId="22" borderId="1" xfId="5" applyFont="1" applyFill="1" applyBorder="1" applyAlignment="1" applyProtection="1">
      <alignment horizontal="left" vertical="top" wrapText="1" shrinkToFit="1"/>
    </xf>
    <xf numFmtId="0" fontId="1" fillId="22" borderId="1" xfId="0" applyFont="1" applyFill="1" applyBorder="1" applyAlignment="1" applyProtection="1">
      <alignment horizontal="left" vertical="top" wrapText="1" shrinkToFit="1"/>
    </xf>
    <xf numFmtId="0" fontId="1" fillId="22" borderId="1" xfId="5" applyFont="1" applyFill="1" applyBorder="1" applyAlignment="1">
      <alignment vertical="top" wrapText="1"/>
    </xf>
    <xf numFmtId="0" fontId="1" fillId="12" borderId="18" xfId="5" applyFont="1" applyFill="1" applyBorder="1" applyAlignment="1">
      <alignment vertical="center" wrapText="1"/>
    </xf>
    <xf numFmtId="0" fontId="1" fillId="3" borderId="18" xfId="5" applyFont="1" applyFill="1" applyBorder="1" applyAlignment="1">
      <alignment vertical="center" wrapText="1"/>
    </xf>
    <xf numFmtId="0" fontId="13" fillId="0" borderId="0" xfId="1" applyAlignment="1" applyProtection="1">
      <alignment vertical="top"/>
    </xf>
    <xf numFmtId="0" fontId="23" fillId="4" borderId="22" xfId="0" applyFont="1" applyFill="1" applyBorder="1" applyAlignment="1">
      <alignment vertical="top"/>
    </xf>
    <xf numFmtId="0" fontId="23" fillId="4" borderId="23" xfId="0" applyFont="1" applyFill="1" applyBorder="1" applyAlignment="1">
      <alignment vertical="top"/>
    </xf>
    <xf numFmtId="0" fontId="23" fillId="4" borderId="25" xfId="0" applyFont="1" applyFill="1" applyBorder="1" applyAlignment="1">
      <alignment vertical="top" wrapText="1"/>
    </xf>
    <xf numFmtId="0" fontId="23" fillId="4" borderId="47" xfId="0" applyFont="1" applyFill="1" applyBorder="1" applyAlignment="1">
      <alignment vertical="top" wrapText="1"/>
    </xf>
    <xf numFmtId="0" fontId="23" fillId="4" borderId="1" xfId="0" applyFont="1" applyFill="1" applyBorder="1" applyAlignment="1">
      <alignment vertical="top"/>
    </xf>
    <xf numFmtId="0" fontId="23" fillId="4" borderId="14" xfId="0" applyFont="1" applyFill="1" applyBorder="1" applyAlignment="1">
      <alignment vertical="top"/>
    </xf>
    <xf numFmtId="0" fontId="40" fillId="4" borderId="16" xfId="4" applyFont="1" applyFill="1" applyBorder="1" applyAlignment="1">
      <alignment horizontal="center" vertical="center"/>
    </xf>
    <xf numFmtId="0" fontId="12" fillId="4" borderId="16" xfId="0" applyFont="1" applyFill="1" applyBorder="1" applyAlignment="1">
      <alignment horizontal="center" vertical="center"/>
    </xf>
    <xf numFmtId="0" fontId="12" fillId="4" borderId="17" xfId="0" applyFont="1" applyFill="1" applyBorder="1" applyAlignment="1">
      <alignment horizontal="center" vertical="center"/>
    </xf>
    <xf numFmtId="0" fontId="36" fillId="4" borderId="1" xfId="4" applyFont="1" applyFill="1" applyBorder="1" applyAlignment="1">
      <alignment horizontal="left" vertical="center" wrapText="1"/>
    </xf>
    <xf numFmtId="0" fontId="12" fillId="4" borderId="1" xfId="0" applyFont="1" applyFill="1" applyBorder="1" applyAlignment="1">
      <alignment wrapText="1"/>
    </xf>
    <xf numFmtId="0" fontId="12" fillId="4" borderId="14" xfId="0" applyFont="1" applyFill="1" applyBorder="1" applyAlignment="1">
      <alignment wrapText="1"/>
    </xf>
    <xf numFmtId="0" fontId="36" fillId="4" borderId="1" xfId="4" applyFont="1" applyFill="1" applyBorder="1" applyAlignment="1">
      <alignment horizontal="left" vertical="center"/>
    </xf>
    <xf numFmtId="0" fontId="12" fillId="4" borderId="1" xfId="0" applyFont="1" applyFill="1" applyBorder="1" applyAlignment="1"/>
    <xf numFmtId="0" fontId="12" fillId="4" borderId="14" xfId="0" applyFont="1" applyFill="1" applyBorder="1" applyAlignment="1"/>
    <xf numFmtId="0" fontId="12" fillId="4" borderId="1" xfId="0" applyFont="1" applyFill="1" applyBorder="1" applyAlignment="1">
      <alignment horizontal="left" vertical="center" wrapText="1"/>
    </xf>
    <xf numFmtId="0" fontId="12" fillId="4" borderId="14" xfId="0" applyFont="1" applyFill="1" applyBorder="1" applyAlignment="1">
      <alignment horizontal="left" vertical="center" wrapText="1"/>
    </xf>
    <xf numFmtId="0" fontId="23" fillId="0" borderId="0" xfId="0" applyFont="1" applyFill="1" applyBorder="1"/>
    <xf numFmtId="0" fontId="23" fillId="0" borderId="9" xfId="0" applyFont="1" applyFill="1" applyBorder="1"/>
    <xf numFmtId="14" fontId="23" fillId="4" borderId="1" xfId="4" applyNumberFormat="1" applyFont="1" applyFill="1" applyBorder="1" applyAlignment="1">
      <alignment horizontal="left" vertical="center"/>
    </xf>
    <xf numFmtId="164" fontId="23" fillId="4" borderId="1" xfId="4" applyNumberFormat="1" applyFont="1" applyFill="1" applyBorder="1" applyAlignment="1">
      <alignment horizontal="left" vertical="center"/>
    </xf>
    <xf numFmtId="0" fontId="36" fillId="4" borderId="22" xfId="4" applyFont="1" applyFill="1" applyBorder="1" applyAlignment="1">
      <alignment horizontal="left" vertical="center"/>
    </xf>
    <xf numFmtId="0" fontId="12" fillId="4" borderId="22" xfId="0" applyFont="1" applyFill="1" applyBorder="1" applyAlignment="1"/>
    <xf numFmtId="0" fontId="12" fillId="4" borderId="23" xfId="0" applyFont="1" applyFill="1" applyBorder="1" applyAlignment="1"/>
    <xf numFmtId="0" fontId="37" fillId="4" borderId="30" xfId="4" applyFont="1" applyFill="1" applyBorder="1" applyAlignment="1">
      <alignment horizontal="center" vertical="center"/>
    </xf>
    <xf numFmtId="0" fontId="1" fillId="4" borderId="31" xfId="0" applyFont="1" applyFill="1" applyBorder="1" applyAlignment="1">
      <alignment horizontal="center" vertical="center"/>
    </xf>
    <xf numFmtId="0" fontId="36" fillId="4" borderId="16" xfId="4" applyFont="1" applyFill="1" applyBorder="1" applyAlignment="1">
      <alignment vertical="top" wrapText="1"/>
    </xf>
    <xf numFmtId="0" fontId="23" fillId="4" borderId="17" xfId="0" applyFont="1" applyFill="1" applyBorder="1" applyAlignment="1">
      <alignment vertical="top" wrapText="1"/>
    </xf>
    <xf numFmtId="0" fontId="79" fillId="0" borderId="0" xfId="0" applyFont="1" applyBorder="1" applyAlignment="1">
      <alignment horizontal="left" vertical="center" wrapText="1"/>
    </xf>
    <xf numFmtId="0" fontId="12" fillId="9" borderId="1" xfId="4" applyFont="1" applyFill="1" applyBorder="1" applyAlignment="1">
      <alignment horizontal="center" vertical="center"/>
    </xf>
    <xf numFmtId="0" fontId="12" fillId="21" borderId="1" xfId="0" applyFont="1" applyFill="1" applyBorder="1" applyAlignment="1">
      <alignment horizontal="center" vertical="center"/>
    </xf>
    <xf numFmtId="0" fontId="12" fillId="3" borderId="1" xfId="6" applyFont="1" applyFill="1" applyBorder="1" applyAlignment="1">
      <alignment horizontal="center" vertical="center"/>
    </xf>
    <xf numFmtId="0" fontId="12" fillId="22" borderId="1" xfId="0" applyFont="1" applyFill="1" applyBorder="1" applyAlignment="1">
      <alignment horizontal="center" vertical="center"/>
    </xf>
    <xf numFmtId="0" fontId="46" fillId="4" borderId="19" xfId="6" applyFont="1" applyFill="1" applyBorder="1" applyAlignment="1">
      <alignment horizontal="center"/>
    </xf>
    <xf numFmtId="0" fontId="46" fillId="4" borderId="21" xfId="6" applyFont="1" applyFill="1" applyBorder="1" applyAlignment="1">
      <alignment horizontal="center"/>
    </xf>
    <xf numFmtId="0" fontId="12" fillId="4" borderId="19" xfId="6" applyFont="1" applyFill="1" applyBorder="1" applyAlignment="1">
      <alignment horizontal="left" vertical="center" wrapText="1"/>
    </xf>
    <xf numFmtId="0" fontId="12" fillId="4" borderId="21" xfId="6" applyFont="1" applyFill="1" applyBorder="1" applyAlignment="1">
      <alignment horizontal="left" vertical="center" wrapText="1"/>
    </xf>
    <xf numFmtId="0" fontId="45" fillId="4" borderId="4" xfId="6" applyFont="1" applyFill="1" applyBorder="1" applyAlignment="1">
      <alignment horizontal="left" vertical="center" wrapText="1"/>
    </xf>
    <xf numFmtId="0" fontId="45" fillId="4" borderId="10" xfId="6" applyFont="1" applyFill="1" applyBorder="1" applyAlignment="1">
      <alignment horizontal="left" vertical="center" wrapText="1"/>
    </xf>
    <xf numFmtId="0" fontId="12" fillId="4" borderId="7" xfId="6" applyFont="1" applyFill="1" applyBorder="1" applyAlignment="1">
      <alignment horizontal="left" vertical="center" wrapText="1"/>
    </xf>
    <xf numFmtId="0" fontId="12" fillId="4" borderId="8" xfId="6" applyFont="1" applyFill="1" applyBorder="1" applyAlignment="1">
      <alignment horizontal="left" vertical="center" wrapText="1"/>
    </xf>
    <xf numFmtId="0" fontId="76" fillId="4" borderId="19" xfId="6" applyFont="1" applyFill="1" applyBorder="1" applyAlignment="1">
      <alignment horizontal="left" vertical="center"/>
    </xf>
    <xf numFmtId="0" fontId="76" fillId="4" borderId="20" xfId="6" applyFont="1" applyFill="1" applyBorder="1" applyAlignment="1">
      <alignment horizontal="left" vertical="center"/>
    </xf>
    <xf numFmtId="0" fontId="76" fillId="4" borderId="21" xfId="6" applyFont="1" applyFill="1" applyBorder="1" applyAlignment="1">
      <alignment horizontal="left" vertical="center"/>
    </xf>
    <xf numFmtId="0" fontId="62" fillId="4" borderId="19" xfId="6" applyFont="1" applyFill="1" applyBorder="1" applyAlignment="1">
      <alignment horizontal="left" vertical="center"/>
    </xf>
    <xf numFmtId="0" fontId="62" fillId="4" borderId="20" xfId="6" applyFont="1" applyFill="1" applyBorder="1" applyAlignment="1">
      <alignment horizontal="left" vertical="center"/>
    </xf>
    <xf numFmtId="0" fontId="62" fillId="4" borderId="21" xfId="6" applyFont="1" applyFill="1" applyBorder="1" applyAlignment="1">
      <alignment horizontal="left" vertical="center"/>
    </xf>
    <xf numFmtId="0" fontId="19" fillId="9" borderId="25" xfId="0" applyFont="1" applyFill="1" applyBorder="1" applyAlignment="1">
      <alignment horizontal="left" vertical="top" wrapText="1"/>
    </xf>
    <xf numFmtId="0" fontId="19" fillId="9" borderId="26" xfId="0" applyFont="1" applyFill="1" applyBorder="1" applyAlignment="1">
      <alignment horizontal="left" vertical="top" wrapText="1"/>
    </xf>
    <xf numFmtId="0" fontId="19" fillId="9" borderId="39" xfId="0" applyFont="1" applyFill="1" applyBorder="1" applyAlignment="1">
      <alignment horizontal="left" vertical="top" wrapText="1"/>
    </xf>
    <xf numFmtId="0" fontId="50" fillId="8" borderId="25" xfId="0" applyFont="1" applyFill="1" applyBorder="1" applyAlignment="1">
      <alignment horizontal="center" vertical="top" wrapText="1"/>
    </xf>
    <xf numFmtId="0" fontId="50" fillId="8" borderId="26" xfId="0" applyFont="1" applyFill="1" applyBorder="1" applyAlignment="1">
      <alignment horizontal="center" vertical="top" wrapText="1"/>
    </xf>
    <xf numFmtId="0" fontId="50" fillId="8" borderId="39" xfId="0" applyFont="1" applyFill="1" applyBorder="1" applyAlignment="1">
      <alignment horizontal="center" vertical="top" wrapText="1"/>
    </xf>
    <xf numFmtId="0" fontId="48" fillId="7" borderId="25" xfId="0" applyFont="1" applyFill="1" applyBorder="1" applyAlignment="1">
      <alignment horizontal="center" vertical="top" wrapText="1"/>
    </xf>
    <xf numFmtId="0" fontId="48" fillId="7" borderId="26" xfId="0" applyFont="1" applyFill="1" applyBorder="1" applyAlignment="1">
      <alignment horizontal="center" vertical="top" wrapText="1"/>
    </xf>
    <xf numFmtId="0" fontId="48" fillId="7" borderId="39" xfId="0" applyFont="1" applyFill="1" applyBorder="1" applyAlignment="1">
      <alignment horizontal="center" vertical="top" wrapText="1"/>
    </xf>
    <xf numFmtId="0" fontId="21" fillId="7" borderId="25" xfId="0" applyFont="1" applyFill="1" applyBorder="1" applyAlignment="1">
      <alignment horizontal="center" vertical="top" wrapText="1"/>
    </xf>
    <xf numFmtId="0" fontId="21" fillId="7" borderId="26" xfId="0" applyFont="1" applyFill="1" applyBorder="1" applyAlignment="1">
      <alignment horizontal="center" vertical="top" wrapText="1"/>
    </xf>
    <xf numFmtId="0" fontId="21" fillId="7" borderId="39" xfId="0" applyFont="1" applyFill="1" applyBorder="1" applyAlignment="1">
      <alignment horizontal="center" vertical="top" wrapText="1"/>
    </xf>
    <xf numFmtId="0" fontId="49" fillId="8" borderId="25" xfId="0" applyFont="1" applyFill="1" applyBorder="1" applyAlignment="1">
      <alignment horizontal="center" vertical="top" wrapText="1"/>
    </xf>
    <xf numFmtId="0" fontId="49" fillId="8" borderId="26" xfId="0" applyFont="1" applyFill="1" applyBorder="1" applyAlignment="1">
      <alignment horizontal="center" vertical="top" wrapText="1"/>
    </xf>
    <xf numFmtId="0" fontId="49" fillId="8" borderId="39" xfId="0" applyFont="1" applyFill="1" applyBorder="1" applyAlignment="1">
      <alignment horizontal="center" vertical="top" wrapText="1"/>
    </xf>
    <xf numFmtId="0" fontId="18" fillId="9" borderId="25" xfId="0" applyFont="1" applyFill="1" applyBorder="1" applyAlignment="1">
      <alignment horizontal="left" vertical="top" wrapText="1"/>
    </xf>
    <xf numFmtId="0" fontId="18" fillId="9" borderId="26" xfId="0" applyFont="1" applyFill="1" applyBorder="1" applyAlignment="1">
      <alignment horizontal="left" vertical="top" wrapText="1"/>
    </xf>
    <xf numFmtId="0" fontId="18" fillId="9" borderId="39" xfId="0" applyFont="1" applyFill="1" applyBorder="1" applyAlignment="1">
      <alignment horizontal="left" vertical="top" wrapText="1"/>
    </xf>
    <xf numFmtId="0" fontId="1" fillId="12" borderId="25" xfId="0" applyFont="1" applyFill="1" applyBorder="1" applyAlignment="1">
      <alignment vertical="top" wrapText="1"/>
    </xf>
    <xf numFmtId="0" fontId="0" fillId="0" borderId="26" xfId="0" applyBorder="1" applyAlignment="1">
      <alignment vertical="top" wrapText="1"/>
    </xf>
    <xf numFmtId="0" fontId="0" fillId="0" borderId="39" xfId="0" applyBorder="1" applyAlignment="1">
      <alignment vertical="top" wrapText="1"/>
    </xf>
    <xf numFmtId="0" fontId="1" fillId="12" borderId="1" xfId="5" applyFont="1" applyFill="1" applyBorder="1" applyAlignment="1">
      <alignment horizontal="center" vertical="top" wrapText="1"/>
    </xf>
    <xf numFmtId="0" fontId="4" fillId="12" borderId="1" xfId="5" applyFont="1" applyFill="1" applyBorder="1" applyAlignment="1">
      <alignment horizontal="left" vertical="top" wrapText="1"/>
    </xf>
    <xf numFmtId="0" fontId="0" fillId="3" borderId="2" xfId="0" applyFill="1" applyBorder="1" applyAlignment="1">
      <alignment horizontal="center"/>
    </xf>
    <xf numFmtId="0" fontId="14" fillId="6" borderId="19" xfId="0" applyFont="1" applyFill="1" applyBorder="1" applyAlignment="1">
      <alignment horizontal="left"/>
    </xf>
    <xf numFmtId="0" fontId="14" fillId="6" borderId="20" xfId="0" applyFont="1" applyFill="1" applyBorder="1" applyAlignment="1">
      <alignment horizontal="left"/>
    </xf>
    <xf numFmtId="0" fontId="14" fillId="6" borderId="21" xfId="0" applyFont="1" applyFill="1" applyBorder="1" applyAlignment="1">
      <alignment horizontal="left"/>
    </xf>
    <xf numFmtId="0" fontId="24" fillId="7" borderId="43" xfId="0" applyFont="1" applyFill="1" applyBorder="1" applyAlignment="1">
      <alignment horizontal="center" vertical="top" wrapText="1"/>
    </xf>
    <xf numFmtId="0" fontId="24" fillId="7" borderId="0" xfId="0" applyFont="1" applyFill="1" applyBorder="1" applyAlignment="1">
      <alignment horizontal="center" vertical="top" wrapText="1"/>
    </xf>
    <xf numFmtId="0" fontId="1" fillId="10" borderId="1" xfId="5" applyFont="1" applyFill="1" applyBorder="1" applyAlignment="1">
      <alignment horizontal="center" vertical="top" wrapText="1"/>
    </xf>
    <xf numFmtId="0" fontId="24" fillId="7" borderId="44" xfId="0" applyFont="1" applyFill="1" applyBorder="1" applyAlignment="1">
      <alignment horizontal="center" vertical="top" wrapText="1"/>
    </xf>
    <xf numFmtId="0" fontId="4" fillId="10" borderId="1" xfId="5" applyFont="1" applyFill="1" applyBorder="1" applyAlignment="1">
      <alignment horizontal="center" vertical="center" wrapText="1"/>
    </xf>
    <xf numFmtId="0" fontId="24" fillId="7" borderId="43" xfId="0" applyFont="1" applyFill="1" applyBorder="1" applyAlignment="1">
      <alignment horizontal="center" vertical="top"/>
    </xf>
    <xf numFmtId="0" fontId="24" fillId="7" borderId="0" xfId="0" applyFont="1" applyFill="1" applyBorder="1" applyAlignment="1">
      <alignment horizontal="center" vertical="top"/>
    </xf>
    <xf numFmtId="0" fontId="23" fillId="10" borderId="45" xfId="0" applyFont="1" applyFill="1" applyBorder="1" applyAlignment="1">
      <alignment horizontal="center" vertical="center" wrapText="1"/>
    </xf>
    <xf numFmtId="0" fontId="23" fillId="10" borderId="40" xfId="0" applyFont="1" applyFill="1" applyBorder="1" applyAlignment="1">
      <alignment horizontal="center" vertical="center" wrapText="1"/>
    </xf>
    <xf numFmtId="0" fontId="1" fillId="5" borderId="25" xfId="0" applyFont="1" applyFill="1" applyBorder="1" applyAlignment="1">
      <alignment horizontal="left" vertical="top" wrapText="1"/>
    </xf>
    <xf numFmtId="0" fontId="1" fillId="5" borderId="26" xfId="0" applyFont="1" applyFill="1" applyBorder="1" applyAlignment="1">
      <alignment horizontal="left" vertical="top" wrapText="1"/>
    </xf>
    <xf numFmtId="0" fontId="1" fillId="5" borderId="39" xfId="0" applyFont="1" applyFill="1" applyBorder="1" applyAlignment="1">
      <alignment horizontal="left" vertical="top" wrapText="1"/>
    </xf>
    <xf numFmtId="0" fontId="11" fillId="0" borderId="0" xfId="0" applyFont="1" applyAlignment="1">
      <alignment vertical="top" wrapText="1"/>
    </xf>
    <xf numFmtId="0" fontId="1" fillId="2" borderId="37" xfId="5" applyFont="1" applyFill="1" applyBorder="1" applyAlignment="1">
      <alignment horizontal="center" vertical="top" wrapText="1"/>
    </xf>
    <xf numFmtId="0" fontId="0" fillId="0" borderId="32" xfId="0" applyBorder="1" applyAlignment="1">
      <alignment horizontal="center" vertical="top" wrapText="1"/>
    </xf>
    <xf numFmtId="0" fontId="4" fillId="12" borderId="37" xfId="5" applyFont="1" applyFill="1" applyBorder="1" applyAlignment="1">
      <alignment vertical="top" wrapText="1"/>
    </xf>
    <xf numFmtId="0" fontId="0" fillId="0" borderId="32" xfId="0" applyBorder="1" applyAlignment="1">
      <alignment vertical="top" wrapText="1"/>
    </xf>
    <xf numFmtId="0" fontId="12" fillId="12" borderId="37" xfId="0" applyFont="1" applyFill="1" applyBorder="1" applyAlignment="1" applyProtection="1">
      <alignment vertical="top"/>
      <protection locked="0"/>
    </xf>
    <xf numFmtId="0" fontId="0" fillId="0" borderId="32" xfId="0" applyBorder="1" applyAlignment="1">
      <alignment vertical="top"/>
    </xf>
    <xf numFmtId="0" fontId="12" fillId="12" borderId="37" xfId="5" applyFill="1" applyBorder="1" applyAlignment="1" applyProtection="1">
      <alignment vertical="top" wrapText="1"/>
      <protection locked="0"/>
    </xf>
    <xf numFmtId="0" fontId="12" fillId="12" borderId="37" xfId="0" applyFont="1" applyFill="1" applyBorder="1" applyAlignment="1" applyProtection="1">
      <alignment vertical="top" wrapText="1"/>
      <protection locked="0"/>
    </xf>
    <xf numFmtId="0" fontId="4" fillId="28" borderId="37" xfId="5" applyFont="1" applyFill="1" applyBorder="1" applyAlignment="1">
      <alignment vertical="top" wrapText="1"/>
    </xf>
    <xf numFmtId="0" fontId="0" fillId="0" borderId="50" xfId="0" applyBorder="1" applyAlignment="1">
      <alignment vertical="top" wrapText="1"/>
    </xf>
    <xf numFmtId="0" fontId="66" fillId="28" borderId="37" xfId="5" applyFont="1" applyFill="1" applyBorder="1" applyAlignment="1">
      <alignment vertical="top" wrapText="1"/>
    </xf>
    <xf numFmtId="0" fontId="1" fillId="12" borderId="37" xfId="5" applyFont="1" applyFill="1" applyBorder="1" applyAlignment="1">
      <alignment horizontal="left" vertical="top" wrapText="1"/>
    </xf>
    <xf numFmtId="0" fontId="1" fillId="12" borderId="32" xfId="5" applyFont="1" applyFill="1" applyBorder="1" applyAlignment="1">
      <alignment horizontal="left" vertical="top" wrapText="1"/>
    </xf>
    <xf numFmtId="0" fontId="11" fillId="12" borderId="37" xfId="5" applyFont="1" applyFill="1" applyBorder="1" applyAlignment="1">
      <alignment horizontal="left" vertical="top" wrapText="1"/>
    </xf>
    <xf numFmtId="0" fontId="11" fillId="12" borderId="32" xfId="5" applyFont="1" applyFill="1" applyBorder="1" applyAlignment="1">
      <alignment horizontal="left" vertical="top" wrapText="1"/>
    </xf>
    <xf numFmtId="0" fontId="1" fillId="0" borderId="4" xfId="5" applyFont="1" applyBorder="1" applyAlignment="1">
      <alignment vertical="top" wrapText="1"/>
    </xf>
    <xf numFmtId="0" fontId="12" fillId="0" borderId="5" xfId="5" applyFont="1" applyBorder="1" applyAlignment="1">
      <alignment vertical="top" wrapText="1"/>
    </xf>
    <xf numFmtId="0" fontId="12" fillId="0" borderId="10" xfId="5" applyFont="1" applyBorder="1" applyAlignment="1">
      <alignment vertical="top" wrapText="1"/>
    </xf>
    <xf numFmtId="0" fontId="62" fillId="0" borderId="19" xfId="5" applyFont="1" applyBorder="1" applyAlignment="1">
      <alignment vertical="top" wrapText="1"/>
    </xf>
    <xf numFmtId="0" fontId="60" fillId="0" borderId="20" xfId="5" applyFont="1" applyBorder="1" applyAlignment="1">
      <alignment vertical="top" wrapText="1"/>
    </xf>
    <xf numFmtId="0" fontId="60" fillId="0" borderId="21" xfId="5" applyFont="1" applyBorder="1" applyAlignment="1">
      <alignment vertical="top" wrapText="1"/>
    </xf>
    <xf numFmtId="0" fontId="1" fillId="0" borderId="7" xfId="5" applyFont="1" applyBorder="1" applyAlignment="1">
      <alignment vertical="top" wrapText="1"/>
    </xf>
    <xf numFmtId="0" fontId="12" fillId="0" borderId="2" xfId="5" applyFont="1" applyBorder="1" applyAlignment="1">
      <alignment vertical="top" wrapText="1"/>
    </xf>
    <xf numFmtId="0" fontId="12" fillId="0" borderId="8" xfId="5" applyFont="1" applyBorder="1" applyAlignment="1">
      <alignment vertical="top" wrapText="1"/>
    </xf>
    <xf numFmtId="0" fontId="1" fillId="0" borderId="3" xfId="5" applyFont="1" applyBorder="1" applyAlignment="1">
      <alignment vertical="top" wrapText="1"/>
    </xf>
    <xf numFmtId="0" fontId="12" fillId="0" borderId="0" xfId="5" applyFont="1" applyBorder="1" applyAlignment="1">
      <alignment vertical="top" wrapText="1"/>
    </xf>
    <xf numFmtId="0" fontId="12" fillId="0" borderId="9" xfId="5" applyFont="1" applyBorder="1" applyAlignment="1">
      <alignment vertical="top" wrapText="1"/>
    </xf>
    <xf numFmtId="0" fontId="12" fillId="12" borderId="37" xfId="5" applyFont="1" applyFill="1" applyBorder="1" applyAlignment="1" applyProtection="1">
      <alignment vertical="top" wrapText="1"/>
      <protection locked="0"/>
    </xf>
    <xf numFmtId="0" fontId="1" fillId="12" borderId="37" xfId="5" applyFont="1" applyFill="1" applyBorder="1" applyAlignment="1" applyProtection="1">
      <alignment vertical="top" wrapText="1"/>
      <protection locked="0"/>
    </xf>
    <xf numFmtId="0" fontId="1" fillId="28" borderId="37" xfId="5" applyFont="1" applyFill="1" applyBorder="1" applyAlignment="1">
      <alignment vertical="top" wrapText="1"/>
    </xf>
    <xf numFmtId="0" fontId="46" fillId="0" borderId="0" xfId="6" applyFont="1" applyAlignment="1">
      <alignment horizontal="left" vertical="top"/>
    </xf>
    <xf numFmtId="0" fontId="1" fillId="0" borderId="0" xfId="6" applyFont="1" applyAlignment="1">
      <alignment horizontal="left" vertical="top" wrapText="1"/>
    </xf>
    <xf numFmtId="0" fontId="62" fillId="3" borderId="3" xfId="6" applyFont="1" applyFill="1" applyBorder="1" applyAlignment="1">
      <alignment horizontal="left" vertical="top"/>
    </xf>
    <xf numFmtId="0" fontId="62" fillId="3" borderId="0" xfId="6" applyFont="1" applyFill="1" applyBorder="1" applyAlignment="1">
      <alignment horizontal="left" vertical="top"/>
    </xf>
    <xf numFmtId="0" fontId="62" fillId="3" borderId="9" xfId="6" applyFont="1" applyFill="1" applyBorder="1" applyAlignment="1">
      <alignment horizontal="left" vertical="top"/>
    </xf>
    <xf numFmtId="0" fontId="46" fillId="3" borderId="4" xfId="6" applyFont="1" applyFill="1" applyBorder="1" applyAlignment="1">
      <alignment horizontal="left" vertical="top"/>
    </xf>
    <xf numFmtId="0" fontId="46" fillId="3" borderId="5" xfId="6" applyFont="1" applyFill="1" applyBorder="1" applyAlignment="1">
      <alignment horizontal="left" vertical="top"/>
    </xf>
    <xf numFmtId="0" fontId="46" fillId="3" borderId="10" xfId="6" applyFont="1" applyFill="1" applyBorder="1" applyAlignment="1">
      <alignment horizontal="left" vertical="top"/>
    </xf>
    <xf numFmtId="0" fontId="46" fillId="0" borderId="0" xfId="6" applyFont="1" applyAlignment="1">
      <alignment horizontal="left" vertical="top" wrapText="1"/>
    </xf>
    <xf numFmtId="0" fontId="46" fillId="3" borderId="37" xfId="6" applyFont="1" applyFill="1" applyBorder="1" applyAlignment="1">
      <alignment horizontal="left" vertical="top" wrapText="1"/>
    </xf>
    <xf numFmtId="0" fontId="46" fillId="3" borderId="50" xfId="6" applyFont="1" applyFill="1" applyBorder="1" applyAlignment="1">
      <alignment horizontal="left" vertical="top" wrapText="1"/>
    </xf>
    <xf numFmtId="0" fontId="46" fillId="3" borderId="32" xfId="6" applyFont="1" applyFill="1" applyBorder="1" applyAlignment="1">
      <alignment horizontal="left" vertical="top" wrapText="1"/>
    </xf>
    <xf numFmtId="0" fontId="51" fillId="3" borderId="20" xfId="6" applyFont="1" applyFill="1" applyBorder="1" applyAlignment="1">
      <alignment horizontal="center" vertical="center" wrapText="1"/>
    </xf>
    <xf numFmtId="0" fontId="82" fillId="3" borderId="3" xfId="6" applyFont="1" applyFill="1" applyBorder="1" applyAlignment="1">
      <alignment horizontal="left" vertical="top"/>
    </xf>
    <xf numFmtId="0" fontId="82" fillId="3" borderId="0" xfId="6" applyFont="1" applyFill="1" applyBorder="1" applyAlignment="1">
      <alignment horizontal="left" vertical="top"/>
    </xf>
    <xf numFmtId="0" fontId="82" fillId="3" borderId="9" xfId="6" applyFont="1" applyFill="1" applyBorder="1" applyAlignment="1">
      <alignment horizontal="left" vertical="top"/>
    </xf>
    <xf numFmtId="0" fontId="24" fillId="10" borderId="48" xfId="6" applyFont="1" applyFill="1" applyBorder="1" applyAlignment="1">
      <alignment horizontal="left" vertical="top" wrapText="1"/>
    </xf>
    <xf numFmtId="0" fontId="77" fillId="10" borderId="24" xfId="6" applyFont="1" applyFill="1" applyBorder="1" applyAlignment="1">
      <alignment horizontal="left" vertical="top" wrapText="1"/>
    </xf>
    <xf numFmtId="0" fontId="77" fillId="10" borderId="49" xfId="6" applyFont="1" applyFill="1" applyBorder="1" applyAlignment="1">
      <alignment horizontal="left" vertical="top" wrapText="1"/>
    </xf>
    <xf numFmtId="0" fontId="24" fillId="11" borderId="48" xfId="6" applyFont="1" applyFill="1" applyBorder="1" applyAlignment="1">
      <alignment horizontal="left" vertical="top" wrapText="1"/>
    </xf>
    <xf numFmtId="0" fontId="77" fillId="11" borderId="24" xfId="6" applyFont="1" applyFill="1" applyBorder="1" applyAlignment="1">
      <alignment horizontal="left" vertical="top" wrapText="1"/>
    </xf>
    <xf numFmtId="0" fontId="77" fillId="11" borderId="49" xfId="6" applyFont="1" applyFill="1" applyBorder="1" applyAlignment="1">
      <alignment horizontal="left" vertical="top" wrapText="1"/>
    </xf>
    <xf numFmtId="0" fontId="12" fillId="4" borderId="41" xfId="5" applyFont="1" applyFill="1" applyBorder="1" applyAlignment="1">
      <alignment horizontal="left" vertical="top" wrapText="1"/>
    </xf>
    <xf numFmtId="0" fontId="12" fillId="4" borderId="51" xfId="5" applyFont="1" applyFill="1" applyBorder="1" applyAlignment="1">
      <alignment horizontal="left" vertical="top" wrapText="1"/>
    </xf>
    <xf numFmtId="0" fontId="12" fillId="4" borderId="42" xfId="5" applyFont="1" applyFill="1" applyBorder="1" applyAlignment="1">
      <alignment horizontal="left" vertical="top" wrapText="1"/>
    </xf>
    <xf numFmtId="0" fontId="12" fillId="4" borderId="43" xfId="5" applyFont="1" applyFill="1" applyBorder="1" applyAlignment="1">
      <alignment horizontal="left" vertical="top" wrapText="1"/>
    </xf>
    <xf numFmtId="0" fontId="12" fillId="4" borderId="0" xfId="5" applyFont="1" applyFill="1" applyBorder="1" applyAlignment="1">
      <alignment horizontal="left" vertical="top" wrapText="1"/>
    </xf>
    <xf numFmtId="0" fontId="12" fillId="4" borderId="44" xfId="5" applyFont="1" applyFill="1" applyBorder="1" applyAlignment="1">
      <alignment horizontal="left" vertical="top" wrapText="1"/>
    </xf>
    <xf numFmtId="0" fontId="12" fillId="4" borderId="45" xfId="5" applyFont="1" applyFill="1" applyBorder="1" applyAlignment="1">
      <alignment horizontal="left" vertical="top" wrapText="1"/>
    </xf>
    <xf numFmtId="0" fontId="12" fillId="4" borderId="40" xfId="5" applyFont="1" applyFill="1" applyBorder="1" applyAlignment="1">
      <alignment horizontal="left" vertical="top" wrapText="1"/>
    </xf>
    <xf numFmtId="0" fontId="12" fillId="4" borderId="46" xfId="5" applyFont="1" applyFill="1" applyBorder="1" applyAlignment="1">
      <alignment horizontal="left" vertical="top" wrapText="1"/>
    </xf>
    <xf numFmtId="0" fontId="32" fillId="11" borderId="25" xfId="5" applyFont="1" applyFill="1" applyBorder="1" applyAlignment="1" applyProtection="1">
      <alignment horizontal="left" vertical="top" wrapText="1" shrinkToFit="1"/>
    </xf>
    <xf numFmtId="0" fontId="32" fillId="11" borderId="26" xfId="5" applyFont="1" applyFill="1" applyBorder="1" applyAlignment="1" applyProtection="1">
      <alignment horizontal="left" vertical="top" wrapText="1" shrinkToFit="1"/>
    </xf>
    <xf numFmtId="0" fontId="32" fillId="11" borderId="39" xfId="5" applyFont="1" applyFill="1" applyBorder="1" applyAlignment="1" applyProtection="1">
      <alignment horizontal="left" vertical="top" wrapText="1" shrinkToFit="1"/>
    </xf>
    <xf numFmtId="0" fontId="32" fillId="11" borderId="25" xfId="0" applyFont="1" applyFill="1" applyBorder="1" applyAlignment="1" applyProtection="1">
      <alignment horizontal="left" vertical="top" wrapText="1" shrinkToFit="1"/>
    </xf>
    <xf numFmtId="0" fontId="32" fillId="11" borderId="26" xfId="0" applyFont="1" applyFill="1" applyBorder="1" applyAlignment="1" applyProtection="1">
      <alignment horizontal="left" vertical="top" wrapText="1" shrinkToFit="1"/>
    </xf>
    <xf numFmtId="0" fontId="32" fillId="11" borderId="39" xfId="0" applyFont="1" applyFill="1" applyBorder="1" applyAlignment="1" applyProtection="1">
      <alignment horizontal="left" vertical="top" wrapText="1" shrinkToFit="1"/>
    </xf>
    <xf numFmtId="0" fontId="23" fillId="11" borderId="41" xfId="0" applyFont="1" applyFill="1" applyBorder="1" applyAlignment="1" applyProtection="1">
      <alignment horizontal="left" vertical="top" wrapText="1" shrinkToFit="1"/>
    </xf>
    <xf numFmtId="0" fontId="23" fillId="11" borderId="51" xfId="0" applyFont="1" applyFill="1" applyBorder="1" applyAlignment="1" applyProtection="1">
      <alignment horizontal="left" vertical="top" wrapText="1" shrinkToFit="1"/>
    </xf>
    <xf numFmtId="0" fontId="0" fillId="11" borderId="51" xfId="0" applyFill="1" applyBorder="1" applyAlignment="1">
      <alignment vertical="top" wrapText="1"/>
    </xf>
    <xf numFmtId="0" fontId="0" fillId="11" borderId="42" xfId="0" applyFill="1" applyBorder="1" applyAlignment="1">
      <alignment vertical="top" wrapText="1"/>
    </xf>
    <xf numFmtId="0" fontId="23" fillId="11" borderId="45" xfId="0" applyFont="1" applyFill="1" applyBorder="1" applyAlignment="1" applyProtection="1">
      <alignment horizontal="left" vertical="top" wrapText="1" shrinkToFit="1"/>
    </xf>
    <xf numFmtId="0" fontId="23" fillId="11" borderId="40" xfId="0" applyFont="1" applyFill="1" applyBorder="1" applyAlignment="1" applyProtection="1">
      <alignment horizontal="left" vertical="top" wrapText="1" shrinkToFit="1"/>
    </xf>
    <xf numFmtId="0" fontId="0" fillId="11" borderId="40" xfId="0" applyFill="1" applyBorder="1" applyAlignment="1">
      <alignment vertical="top" wrapText="1"/>
    </xf>
    <xf numFmtId="0" fontId="0" fillId="11" borderId="46" xfId="0" applyFill="1" applyBorder="1" applyAlignment="1">
      <alignment vertical="top" wrapText="1"/>
    </xf>
    <xf numFmtId="0" fontId="1" fillId="5" borderId="25" xfId="0" applyFont="1" applyFill="1" applyBorder="1" applyAlignment="1" applyProtection="1">
      <alignment horizontal="left" vertical="top"/>
    </xf>
    <xf numFmtId="0" fontId="1" fillId="5" borderId="26" xfId="0" applyFont="1" applyFill="1" applyBorder="1" applyAlignment="1" applyProtection="1">
      <alignment horizontal="left" vertical="top"/>
    </xf>
    <xf numFmtId="0" fontId="1" fillId="5" borderId="39" xfId="0" applyFont="1" applyFill="1" applyBorder="1" applyAlignment="1" applyProtection="1">
      <alignment horizontal="left" vertical="top"/>
    </xf>
    <xf numFmtId="0" fontId="23" fillId="11" borderId="25" xfId="0" applyFont="1" applyFill="1" applyBorder="1" applyAlignment="1" applyProtection="1">
      <alignment horizontal="left" vertical="top" wrapText="1" shrinkToFit="1"/>
    </xf>
    <xf numFmtId="0" fontId="23" fillId="11" borderId="26" xfId="0" applyFont="1" applyFill="1" applyBorder="1" applyAlignment="1" applyProtection="1">
      <alignment horizontal="left" vertical="top" wrapText="1" shrinkToFit="1"/>
    </xf>
    <xf numFmtId="0" fontId="23" fillId="11" borderId="39" xfId="0" applyFont="1" applyFill="1" applyBorder="1" applyAlignment="1" applyProtection="1">
      <alignment horizontal="left" vertical="top" wrapText="1" shrinkToFit="1"/>
    </xf>
    <xf numFmtId="0" fontId="0" fillId="0" borderId="26" xfId="0" applyBorder="1" applyAlignment="1">
      <alignment vertical="top"/>
    </xf>
    <xf numFmtId="0" fontId="0" fillId="0" borderId="39" xfId="0" applyBorder="1" applyAlignment="1">
      <alignment vertical="top"/>
    </xf>
    <xf numFmtId="0" fontId="1" fillId="5" borderId="1" xfId="0" applyFont="1" applyFill="1" applyBorder="1" applyAlignment="1" applyProtection="1">
      <alignment horizontal="left" vertical="top"/>
    </xf>
    <xf numFmtId="0" fontId="3" fillId="0" borderId="0" xfId="0" applyFont="1" applyFill="1" applyAlignment="1">
      <alignment horizontal="center" vertical="top"/>
    </xf>
  </cellXfs>
  <cellStyles count="14">
    <cellStyle name="Hyperlink" xfId="1" builtinId="8"/>
    <cellStyle name="Hyperlink 2" xfId="2"/>
    <cellStyle name="Hyperlink 3" xfId="3"/>
    <cellStyle name="Normal" xfId="0" builtinId="0"/>
    <cellStyle name="Normal 2" xfId="4"/>
    <cellStyle name="Normal 2 2" xfId="5"/>
    <cellStyle name="Normal 3" xfId="6"/>
    <cellStyle name="Normal 3 2" xfId="7"/>
    <cellStyle name="Normal 4" xfId="8"/>
    <cellStyle name="Normal 4 2" xfId="9"/>
    <cellStyle name="Normal 5" xfId="10"/>
    <cellStyle name="Normal 6" xfId="11"/>
    <cellStyle name="Normal 7" xfId="12"/>
    <cellStyle name="Normal 8" xfId="13"/>
  </cellStyles>
  <dxfs count="205">
    <dxf>
      <font>
        <color rgb="FFFF0000"/>
      </font>
    </dxf>
    <dxf>
      <font>
        <color rgb="FF006600"/>
      </font>
    </dxf>
    <dxf>
      <font>
        <color rgb="FFFF6600"/>
      </font>
    </dxf>
    <dxf>
      <font>
        <color rgb="FFFF0000"/>
      </font>
    </dxf>
    <dxf>
      <font>
        <color rgb="FFFF0000"/>
      </font>
    </dxf>
    <dxf>
      <font>
        <color rgb="FF006600"/>
      </font>
    </dxf>
    <dxf>
      <font>
        <color rgb="FFFF6600"/>
      </font>
    </dxf>
    <dxf>
      <font>
        <color rgb="FFFF0000"/>
      </font>
    </dxf>
    <dxf>
      <font>
        <color rgb="FFFF0000"/>
      </font>
    </dxf>
    <dxf>
      <font>
        <color rgb="FF006600"/>
      </font>
    </dxf>
    <dxf>
      <font>
        <color rgb="FFFF6600"/>
      </font>
    </dxf>
    <dxf>
      <font>
        <color rgb="FFFF0000"/>
      </font>
    </dxf>
    <dxf>
      <font>
        <color rgb="FFFF0000"/>
      </font>
    </dxf>
    <dxf>
      <font>
        <color rgb="FF006600"/>
      </font>
    </dxf>
    <dxf>
      <font>
        <color rgb="FFFF6600"/>
      </font>
    </dxf>
    <dxf>
      <font>
        <color rgb="FFFF0000"/>
      </font>
    </dxf>
    <dxf>
      <font>
        <color rgb="FFFF0000"/>
      </font>
    </dxf>
    <dxf>
      <font>
        <color rgb="FF006600"/>
      </font>
    </dxf>
    <dxf>
      <font>
        <color rgb="FFFF6600"/>
      </font>
    </dxf>
    <dxf>
      <font>
        <color rgb="FFFF0000"/>
      </font>
    </dxf>
    <dxf>
      <font>
        <color rgb="FFFF0000"/>
      </font>
    </dxf>
    <dxf>
      <font>
        <color rgb="FF006600"/>
      </font>
    </dxf>
    <dxf>
      <font>
        <color rgb="FFFF6600"/>
      </font>
    </dxf>
    <dxf>
      <font>
        <color rgb="FFFF0000"/>
      </font>
    </dxf>
    <dxf>
      <font>
        <color rgb="FFFF0000"/>
      </font>
    </dxf>
    <dxf>
      <font>
        <color rgb="FF006600"/>
      </font>
    </dxf>
    <dxf>
      <font>
        <color rgb="FFFF6600"/>
      </font>
    </dxf>
    <dxf>
      <font>
        <color rgb="FFFF0000"/>
      </font>
    </dxf>
    <dxf>
      <font>
        <color rgb="FFFF0000"/>
      </font>
    </dxf>
    <dxf>
      <font>
        <color rgb="FF006600"/>
      </font>
    </dxf>
    <dxf>
      <font>
        <color rgb="FFFF6600"/>
      </font>
    </dxf>
    <dxf>
      <font>
        <color rgb="FFFF0000"/>
      </font>
    </dxf>
    <dxf>
      <font>
        <color rgb="FFFF0000"/>
      </font>
    </dxf>
    <dxf>
      <font>
        <color rgb="FF006600"/>
      </font>
    </dxf>
    <dxf>
      <font>
        <color rgb="FFFF6600"/>
      </font>
    </dxf>
    <dxf>
      <font>
        <color rgb="FFFF0000"/>
      </font>
    </dxf>
    <dxf>
      <font>
        <color rgb="FFFF0000"/>
      </font>
    </dxf>
    <dxf>
      <font>
        <color rgb="FF006600"/>
      </font>
    </dxf>
    <dxf>
      <font>
        <color rgb="FFFF6600"/>
      </font>
    </dxf>
    <dxf>
      <font>
        <color rgb="FFFF0000"/>
      </font>
    </dxf>
    <dxf>
      <font>
        <color rgb="FFFF0000"/>
      </font>
    </dxf>
    <dxf>
      <font>
        <color rgb="FF006600"/>
      </font>
    </dxf>
    <dxf>
      <font>
        <color rgb="FFFF6600"/>
      </font>
    </dxf>
    <dxf>
      <font>
        <color rgb="FFFF0000"/>
      </font>
    </dxf>
    <dxf>
      <font>
        <color rgb="FFFF0000"/>
      </font>
    </dxf>
    <dxf>
      <font>
        <color rgb="FF006600"/>
      </font>
    </dxf>
    <dxf>
      <font>
        <color rgb="FFFF6600"/>
      </font>
    </dxf>
    <dxf>
      <font>
        <color rgb="FFFF0000"/>
      </font>
    </dxf>
    <dxf>
      <font>
        <color rgb="FFFF0000"/>
      </font>
    </dxf>
    <dxf>
      <font>
        <color rgb="FF006600"/>
      </font>
    </dxf>
    <dxf>
      <font>
        <color rgb="FFFF6600"/>
      </font>
    </dxf>
    <dxf>
      <font>
        <color rgb="FFFF0000"/>
      </font>
    </dxf>
    <dxf>
      <fill>
        <patternFill>
          <bgColor indexed="53"/>
        </patternFill>
      </fill>
    </dxf>
    <dxf>
      <fill>
        <patternFill>
          <bgColor indexed="51"/>
        </patternFill>
      </fill>
    </dxf>
    <dxf>
      <fill>
        <patternFill>
          <bgColor indexed="53"/>
        </patternFill>
      </fill>
    </dxf>
    <dxf>
      <fill>
        <patternFill>
          <bgColor indexed="51"/>
        </patternFill>
      </fill>
    </dxf>
    <dxf>
      <fill>
        <patternFill>
          <bgColor indexed="53"/>
        </patternFill>
      </fill>
    </dxf>
    <dxf>
      <fill>
        <patternFill>
          <bgColor indexed="51"/>
        </patternFill>
      </fill>
    </dxf>
    <dxf>
      <fill>
        <patternFill>
          <bgColor indexed="53"/>
        </patternFill>
      </fill>
    </dxf>
    <dxf>
      <fill>
        <patternFill>
          <bgColor indexed="51"/>
        </patternFill>
      </fill>
    </dxf>
    <dxf>
      <fill>
        <patternFill>
          <bgColor indexed="53"/>
        </patternFill>
      </fill>
    </dxf>
    <dxf>
      <fill>
        <patternFill>
          <bgColor indexed="51"/>
        </patternFill>
      </fill>
    </dxf>
    <dxf>
      <fill>
        <patternFill>
          <bgColor indexed="53"/>
        </patternFill>
      </fill>
    </dxf>
    <dxf>
      <fill>
        <patternFill>
          <bgColor indexed="51"/>
        </patternFill>
      </fill>
    </dxf>
    <dxf>
      <fill>
        <patternFill>
          <bgColor indexed="53"/>
        </patternFill>
      </fill>
    </dxf>
    <dxf>
      <fill>
        <patternFill>
          <bgColor indexed="51"/>
        </patternFill>
      </fill>
    </dxf>
    <dxf>
      <fill>
        <patternFill>
          <bgColor rgb="FFFF0000"/>
        </patternFill>
      </fill>
    </dxf>
    <dxf>
      <fill>
        <patternFill>
          <bgColor rgb="FFFF0000"/>
        </patternFill>
      </fill>
    </dxf>
    <dxf>
      <fill>
        <patternFill>
          <bgColor rgb="FFFF0000"/>
        </patternFill>
      </fill>
    </dxf>
    <dxf>
      <font>
        <u/>
        <color rgb="FF00B0F0"/>
      </font>
    </dxf>
    <dxf>
      <font>
        <u/>
        <color rgb="FF00B0F0"/>
      </font>
    </dxf>
    <dxf>
      <fill>
        <patternFill>
          <bgColor rgb="FFFF0000"/>
        </patternFill>
      </fill>
    </dxf>
    <dxf>
      <fill>
        <patternFill>
          <bgColor rgb="FFFF000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indexed="53"/>
        </patternFill>
      </fill>
    </dxf>
    <dxf>
      <fill>
        <patternFill>
          <bgColor indexed="51"/>
        </patternFill>
      </fill>
    </dxf>
    <dxf>
      <fill>
        <patternFill>
          <bgColor indexed="53"/>
        </patternFill>
      </fill>
    </dxf>
    <dxf>
      <fill>
        <patternFill>
          <bgColor indexed="51"/>
        </patternFill>
      </fill>
    </dxf>
    <dxf>
      <fill>
        <patternFill>
          <bgColor indexed="53"/>
        </patternFill>
      </fill>
    </dxf>
    <dxf>
      <fill>
        <patternFill>
          <bgColor indexed="51"/>
        </patternFill>
      </fill>
    </dxf>
    <dxf>
      <fill>
        <patternFill>
          <bgColor indexed="53"/>
        </patternFill>
      </fill>
    </dxf>
    <dxf>
      <fill>
        <patternFill>
          <bgColor indexed="51"/>
        </patternFill>
      </fill>
    </dxf>
    <dxf>
      <fill>
        <patternFill>
          <bgColor indexed="53"/>
        </patternFill>
      </fill>
    </dxf>
    <dxf>
      <fill>
        <patternFill>
          <bgColor indexed="51"/>
        </patternFill>
      </fill>
    </dxf>
    <dxf>
      <fill>
        <patternFill>
          <bgColor indexed="53"/>
        </patternFill>
      </fill>
    </dxf>
    <dxf>
      <fill>
        <patternFill>
          <bgColor indexed="51"/>
        </patternFill>
      </fill>
    </dxf>
    <dxf>
      <fill>
        <patternFill>
          <bgColor indexed="53"/>
        </patternFill>
      </fill>
    </dxf>
    <dxf>
      <fill>
        <patternFill>
          <bgColor indexed="51"/>
        </patternFill>
      </fill>
    </dxf>
    <dxf>
      <fill>
        <patternFill>
          <bgColor indexed="53"/>
        </patternFill>
      </fill>
    </dxf>
    <dxf>
      <fill>
        <patternFill>
          <bgColor indexed="51"/>
        </patternFill>
      </fill>
    </dxf>
    <dxf>
      <fill>
        <patternFill>
          <bgColor rgb="FFFF0000"/>
        </patternFill>
      </fill>
    </dxf>
    <dxf>
      <fill>
        <patternFill>
          <bgColor rgb="FF92D050"/>
        </patternFill>
      </fill>
    </dxf>
    <dxf>
      <font>
        <b/>
        <i val="0"/>
        <color rgb="FFFF0000"/>
      </font>
    </dxf>
    <dxf>
      <font>
        <color rgb="FFFF0000"/>
      </font>
    </dxf>
    <dxf>
      <font>
        <color rgb="FF006600"/>
      </font>
    </dxf>
    <dxf>
      <font>
        <color rgb="FFFF6600"/>
      </font>
    </dxf>
    <dxf>
      <font>
        <color rgb="FFFF0000"/>
      </font>
    </dxf>
    <dxf>
      <font>
        <color rgb="FFFF0000"/>
      </font>
    </dxf>
    <dxf>
      <font>
        <color rgb="FF006600"/>
      </font>
    </dxf>
    <dxf>
      <font>
        <color rgb="FFFF6600"/>
      </font>
    </dxf>
    <dxf>
      <font>
        <color rgb="FFFF0000"/>
      </font>
    </dxf>
    <dxf>
      <font>
        <color rgb="FFFF0000"/>
      </font>
    </dxf>
    <dxf>
      <font>
        <color rgb="FF006600"/>
      </font>
    </dxf>
    <dxf>
      <font>
        <color rgb="FFFF6600"/>
      </font>
    </dxf>
    <dxf>
      <font>
        <color rgb="FFFF0000"/>
      </font>
    </dxf>
    <dxf>
      <font>
        <color rgb="FFFF0000"/>
      </font>
    </dxf>
    <dxf>
      <font>
        <color rgb="FF006600"/>
      </font>
    </dxf>
    <dxf>
      <font>
        <color rgb="FFFF6600"/>
      </font>
    </dxf>
    <dxf>
      <font>
        <color rgb="FFFF0000"/>
      </font>
    </dxf>
    <dxf>
      <font>
        <color rgb="FFFF0000"/>
      </font>
    </dxf>
    <dxf>
      <font>
        <color rgb="FF006600"/>
      </font>
    </dxf>
    <dxf>
      <font>
        <color rgb="FFFF6600"/>
      </font>
    </dxf>
    <dxf>
      <font>
        <color rgb="FFFF0000"/>
      </font>
    </dxf>
    <dxf>
      <font>
        <color rgb="FFFF0000"/>
      </font>
    </dxf>
    <dxf>
      <font>
        <color rgb="FF006600"/>
      </font>
    </dxf>
    <dxf>
      <font>
        <color rgb="FFFF6600"/>
      </font>
    </dxf>
    <dxf>
      <font>
        <color rgb="FFFF0000"/>
      </font>
    </dxf>
    <dxf>
      <font>
        <color rgb="FFFF0000"/>
      </font>
    </dxf>
    <dxf>
      <font>
        <color rgb="FF006600"/>
      </font>
    </dxf>
    <dxf>
      <font>
        <color rgb="FFFF6600"/>
      </font>
    </dxf>
    <dxf>
      <font>
        <color rgb="FFFF0000"/>
      </font>
    </dxf>
    <dxf>
      <font>
        <color rgb="FFFF0000"/>
      </font>
    </dxf>
    <dxf>
      <font>
        <color rgb="FF006600"/>
      </font>
    </dxf>
    <dxf>
      <font>
        <color rgb="FFFF6600"/>
      </font>
    </dxf>
    <dxf>
      <font>
        <color rgb="FFFF0000"/>
      </font>
    </dxf>
    <dxf>
      <font>
        <color rgb="FFFF0000"/>
      </font>
    </dxf>
    <dxf>
      <font>
        <color rgb="FF006600"/>
      </font>
    </dxf>
    <dxf>
      <font>
        <color rgb="FFFF6600"/>
      </font>
    </dxf>
    <dxf>
      <font>
        <color rgb="FFFF0000"/>
      </font>
    </dxf>
    <dxf>
      <font>
        <color rgb="FFFF0000"/>
      </font>
    </dxf>
    <dxf>
      <font>
        <color rgb="FF006600"/>
      </font>
    </dxf>
    <dxf>
      <font>
        <color rgb="FFFF6600"/>
      </font>
    </dxf>
    <dxf>
      <font>
        <color rgb="FFFF0000"/>
      </font>
    </dxf>
    <dxf>
      <font>
        <color rgb="FFFF0000"/>
      </font>
    </dxf>
    <dxf>
      <font>
        <color rgb="FF006600"/>
      </font>
    </dxf>
    <dxf>
      <font>
        <color rgb="FFFF6600"/>
      </font>
    </dxf>
    <dxf>
      <font>
        <color rgb="FFFF0000"/>
      </font>
    </dxf>
    <dxf>
      <font>
        <b/>
        <i val="0"/>
        <color rgb="FFFF0000"/>
      </font>
    </dxf>
    <dxf>
      <font>
        <b/>
        <i val="0"/>
        <color rgb="FFFF0000"/>
      </font>
    </dxf>
    <dxf>
      <font>
        <color rgb="FF006600"/>
      </font>
    </dxf>
    <dxf>
      <font>
        <color rgb="FF006600"/>
      </font>
    </dxf>
    <dxf>
      <font>
        <color rgb="FF006600"/>
      </font>
    </dxf>
    <dxf>
      <font>
        <color rgb="FFFF6600"/>
      </font>
    </dxf>
    <dxf>
      <font>
        <color rgb="FFFF0000"/>
      </font>
    </dxf>
    <dxf>
      <font>
        <color rgb="FF006600"/>
      </font>
    </dxf>
    <dxf>
      <font>
        <color rgb="FF006600"/>
      </font>
    </dxf>
    <dxf>
      <font>
        <color rgb="FF006600"/>
      </font>
    </dxf>
    <dxf>
      <font>
        <color rgb="FFFF6600"/>
      </font>
    </dxf>
    <dxf>
      <font>
        <color rgb="FFFF0000"/>
      </font>
    </dxf>
    <dxf>
      <font>
        <b/>
        <i val="0"/>
        <color rgb="FFFF0000"/>
      </font>
    </dxf>
    <dxf>
      <font>
        <b/>
        <i val="0"/>
        <color rgb="FFFF0000"/>
      </font>
    </dxf>
    <dxf>
      <font>
        <color rgb="FF006600"/>
      </font>
    </dxf>
    <dxf>
      <font>
        <color rgb="FF006600"/>
      </font>
    </dxf>
    <dxf>
      <font>
        <color rgb="FF006600"/>
      </font>
    </dxf>
    <dxf>
      <font>
        <color rgb="FFFF6600"/>
      </font>
    </dxf>
    <dxf>
      <font>
        <color rgb="FFFF0000"/>
      </font>
    </dxf>
    <dxf>
      <font>
        <color rgb="FFFF0000"/>
      </font>
    </dxf>
    <dxf>
      <font>
        <color rgb="FF006600"/>
      </font>
    </dxf>
    <dxf>
      <font>
        <color rgb="FFFF6600"/>
      </font>
    </dxf>
    <dxf>
      <font>
        <color rgb="FFFF0000"/>
      </font>
    </dxf>
    <dxf>
      <font>
        <b/>
        <i val="0"/>
        <color rgb="FFFF0000"/>
      </font>
    </dxf>
    <dxf>
      <font>
        <b/>
        <i val="0"/>
        <color rgb="FFFF0000"/>
      </font>
    </dxf>
    <dxf>
      <font>
        <b/>
        <i val="0"/>
        <color rgb="FFFF0000"/>
      </font>
    </dxf>
    <dxf>
      <font>
        <b/>
        <i val="0"/>
        <color rgb="FFFF0000"/>
      </font>
    </dxf>
  </dxfs>
  <tableStyles count="0" defaultTableStyle="TableStyleMedium9"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ustomXml" Target="../customXml/item1.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1</xdr:col>
      <xdr:colOff>16932</xdr:colOff>
      <xdr:row>28</xdr:row>
      <xdr:rowOff>45518</xdr:rowOff>
    </xdr:from>
    <xdr:to>
      <xdr:col>2</xdr:col>
      <xdr:colOff>677930</xdr:colOff>
      <xdr:row>31</xdr:row>
      <xdr:rowOff>60330</xdr:rowOff>
    </xdr:to>
    <xdr:sp macro="" textlink="">
      <xdr:nvSpPr>
        <xdr:cNvPr id="2" name="AutoShape 1">
          <a:extLst>
            <a:ext uri="{FF2B5EF4-FFF2-40B4-BE49-F238E27FC236}">
              <a16:creationId xmlns="" xmlns:a16="http://schemas.microsoft.com/office/drawing/2014/main" id="{00000000-0008-0000-0100-000002000000}"/>
            </a:ext>
          </a:extLst>
        </xdr:cNvPr>
        <xdr:cNvSpPr>
          <a:spLocks noChangeArrowheads="1"/>
        </xdr:cNvSpPr>
      </xdr:nvSpPr>
      <xdr:spPr bwMode="auto">
        <a:xfrm rot="5400000">
          <a:off x="1080124" y="3754351"/>
          <a:ext cx="500587" cy="2017372"/>
        </a:xfrm>
        <a:prstGeom prst="homePlate">
          <a:avLst>
            <a:gd name="adj" fmla="val 25000"/>
          </a:avLst>
        </a:prstGeom>
        <a:gradFill>
          <a:gsLst>
            <a:gs pos="51000">
              <a:schemeClr val="accent2">
                <a:lumMod val="40000"/>
                <a:lumOff val="60000"/>
              </a:schemeClr>
            </a:gs>
            <a:gs pos="20000">
              <a:schemeClr val="tx2">
                <a:lumMod val="20000"/>
                <a:lumOff val="80000"/>
              </a:schemeClr>
            </a:gs>
            <a:gs pos="80000">
              <a:schemeClr val="accent3">
                <a:lumMod val="40000"/>
                <a:lumOff val="60000"/>
              </a:schemeClr>
            </a:gs>
          </a:gsLst>
          <a:lin ang="5400000" scaled="0"/>
        </a:gradFill>
        <a:ln w="9525">
          <a:solidFill>
            <a:srgbClr val="000000"/>
          </a:solidFill>
          <a:miter lim="800000"/>
          <a:headEnd/>
          <a:tailEnd/>
        </a:ln>
      </xdr:spPr>
      <xdr:txBody>
        <a:bodyPr vertOverflow="clip" wrap="square" lIns="36576" tIns="27432" rIns="36576" bIns="27432" anchor="ctr" upright="1"/>
        <a:lstStyle/>
        <a:p>
          <a:pPr algn="ctr" rtl="0">
            <a:defRPr sz="1000"/>
          </a:pPr>
          <a:r>
            <a:rPr lang="en-GB" sz="1200" b="1" i="0" u="none" strike="noStrike" baseline="0">
              <a:solidFill>
                <a:sysClr val="windowText" lastClr="000000"/>
              </a:solidFill>
              <a:latin typeface="Arial"/>
              <a:cs typeface="Arial"/>
            </a:rPr>
            <a:t>1 - Contact Log</a:t>
          </a:r>
        </a:p>
      </xdr:txBody>
    </xdr:sp>
    <xdr:clientData/>
  </xdr:twoCellAnchor>
  <xdr:twoCellAnchor>
    <xdr:from>
      <xdr:col>0</xdr:col>
      <xdr:colOff>308607</xdr:colOff>
      <xdr:row>60</xdr:row>
      <xdr:rowOff>89518</xdr:rowOff>
    </xdr:from>
    <xdr:to>
      <xdr:col>2</xdr:col>
      <xdr:colOff>641457</xdr:colOff>
      <xdr:row>63</xdr:row>
      <xdr:rowOff>134795</xdr:rowOff>
    </xdr:to>
    <xdr:sp macro="" textlink="">
      <xdr:nvSpPr>
        <xdr:cNvPr id="3" name="AutoShape 5">
          <a:extLst>
            <a:ext uri="{FF2B5EF4-FFF2-40B4-BE49-F238E27FC236}">
              <a16:creationId xmlns="" xmlns:a16="http://schemas.microsoft.com/office/drawing/2014/main" id="{00000000-0008-0000-0100-000003000000}"/>
            </a:ext>
          </a:extLst>
        </xdr:cNvPr>
        <xdr:cNvSpPr>
          <a:spLocks noChangeArrowheads="1"/>
        </xdr:cNvSpPr>
      </xdr:nvSpPr>
      <xdr:spPr bwMode="auto">
        <a:xfrm rot="5400000">
          <a:off x="1036355" y="8999165"/>
          <a:ext cx="536633" cy="2003559"/>
        </a:xfrm>
        <a:prstGeom prst="homePlate">
          <a:avLst>
            <a:gd name="adj" fmla="val 25000"/>
          </a:avLst>
        </a:prstGeom>
        <a:gradFill>
          <a:gsLst>
            <a:gs pos="25000">
              <a:schemeClr val="accent2">
                <a:lumMod val="40000"/>
                <a:lumOff val="60000"/>
              </a:schemeClr>
            </a:gs>
            <a:gs pos="75000">
              <a:schemeClr val="accent3">
                <a:lumMod val="40000"/>
                <a:lumOff val="60000"/>
              </a:schemeClr>
            </a:gs>
          </a:gsLst>
          <a:lin ang="5400000" scaled="0"/>
        </a:gradFill>
        <a:ln w="9525">
          <a:solidFill>
            <a:srgbClr val="000000"/>
          </a:solidFill>
          <a:miter lim="800000"/>
          <a:headEnd/>
          <a:tailEnd/>
        </a:ln>
      </xdr:spPr>
      <xdr:txBody>
        <a:bodyPr vertOverflow="clip" wrap="square" lIns="36576" tIns="27432" rIns="36576" bIns="27432" anchor="ctr" upright="1"/>
        <a:lstStyle/>
        <a:p>
          <a:pPr algn="ctr" rtl="0">
            <a:defRPr sz="1000"/>
          </a:pPr>
          <a:r>
            <a:rPr lang="en-GB" sz="1200" b="1" i="0" u="none" strike="noStrike" baseline="0">
              <a:solidFill>
                <a:srgbClr val="000000"/>
              </a:solidFill>
              <a:latin typeface="Arial"/>
              <a:cs typeface="Arial"/>
            </a:rPr>
            <a:t>9.x - e-RS API Reqs</a:t>
          </a:r>
          <a:endParaRPr lang="en-GB"/>
        </a:p>
      </xdr:txBody>
    </xdr:sp>
    <xdr:clientData/>
  </xdr:twoCellAnchor>
  <xdr:twoCellAnchor>
    <xdr:from>
      <xdr:col>1</xdr:col>
      <xdr:colOff>25395</xdr:colOff>
      <xdr:row>39</xdr:row>
      <xdr:rowOff>104775</xdr:rowOff>
    </xdr:from>
    <xdr:to>
      <xdr:col>2</xdr:col>
      <xdr:colOff>679014</xdr:colOff>
      <xdr:row>42</xdr:row>
      <xdr:rowOff>140763</xdr:rowOff>
    </xdr:to>
    <xdr:sp macro="" textlink="">
      <xdr:nvSpPr>
        <xdr:cNvPr id="4" name="AutoShape 10">
          <a:extLst>
            <a:ext uri="{FF2B5EF4-FFF2-40B4-BE49-F238E27FC236}">
              <a16:creationId xmlns="" xmlns:a16="http://schemas.microsoft.com/office/drawing/2014/main" id="{00000000-0008-0000-0100-000004000000}"/>
            </a:ext>
          </a:extLst>
        </xdr:cNvPr>
        <xdr:cNvSpPr>
          <a:spLocks noChangeArrowheads="1"/>
        </xdr:cNvSpPr>
      </xdr:nvSpPr>
      <xdr:spPr bwMode="auto">
        <a:xfrm rot="5400000">
          <a:off x="1072307" y="5611063"/>
          <a:ext cx="521763" cy="2005987"/>
        </a:xfrm>
        <a:prstGeom prst="homePlate">
          <a:avLst>
            <a:gd name="adj" fmla="val 25000"/>
          </a:avLst>
        </a:prstGeom>
        <a:gradFill>
          <a:gsLst>
            <a:gs pos="25000">
              <a:schemeClr val="accent2">
                <a:lumMod val="40000"/>
                <a:lumOff val="60000"/>
              </a:schemeClr>
            </a:gs>
            <a:gs pos="75000">
              <a:schemeClr val="accent3">
                <a:lumMod val="40000"/>
                <a:lumOff val="60000"/>
              </a:schemeClr>
            </a:gs>
          </a:gsLst>
          <a:lin ang="5400000" scaled="0"/>
        </a:gradFill>
        <a:ln w="9525" algn="ctr">
          <a:solidFill>
            <a:srgbClr val="000000"/>
          </a:solidFill>
          <a:miter lim="800000"/>
          <a:headEnd/>
          <a:tailEnd/>
        </a:ln>
        <a:effectLst/>
      </xdr:spPr>
      <xdr:txBody>
        <a:bodyPr vertOverflow="clip" wrap="square" lIns="36576" tIns="27432" rIns="36576" bIns="27432" anchor="ctr" upright="1"/>
        <a:lstStyle/>
        <a:p>
          <a:pPr algn="ctr" rtl="0">
            <a:defRPr sz="1000"/>
          </a:pPr>
          <a:r>
            <a:rPr lang="en-GB" sz="1200" b="1" i="0" u="none" strike="noStrike" baseline="0">
              <a:solidFill>
                <a:srgbClr val="000000"/>
              </a:solidFill>
              <a:latin typeface="Arial"/>
              <a:cs typeface="Arial"/>
            </a:rPr>
            <a:t>4 - </a:t>
          </a:r>
          <a:r>
            <a:rPr lang="en-GB" sz="1200" b="1" i="0" baseline="0">
              <a:effectLst/>
              <a:latin typeface="Arial" panose="020B0604020202020204" pitchFamily="34" charset="0"/>
              <a:ea typeface="+mn-ea"/>
              <a:cs typeface="Arial" panose="020B0604020202020204" pitchFamily="34" charset="0"/>
            </a:rPr>
            <a:t>Topology</a:t>
          </a:r>
          <a:endParaRPr lang="en-GB" sz="1200" b="1"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twoCellAnchor>
    <xdr:from>
      <xdr:col>1</xdr:col>
      <xdr:colOff>4656</xdr:colOff>
      <xdr:row>65</xdr:row>
      <xdr:rowOff>30480</xdr:rowOff>
    </xdr:from>
    <xdr:to>
      <xdr:col>2</xdr:col>
      <xdr:colOff>641727</xdr:colOff>
      <xdr:row>65</xdr:row>
      <xdr:rowOff>30480</xdr:rowOff>
    </xdr:to>
    <xdr:sp macro="" textlink="">
      <xdr:nvSpPr>
        <xdr:cNvPr id="5" name="AutoShape 5">
          <a:extLst>
            <a:ext uri="{FF2B5EF4-FFF2-40B4-BE49-F238E27FC236}">
              <a16:creationId xmlns="" xmlns:a16="http://schemas.microsoft.com/office/drawing/2014/main" id="{00000000-0008-0000-0100-000005000000}"/>
            </a:ext>
          </a:extLst>
        </xdr:cNvPr>
        <xdr:cNvSpPr>
          <a:spLocks noChangeArrowheads="1"/>
        </xdr:cNvSpPr>
      </xdr:nvSpPr>
      <xdr:spPr bwMode="auto">
        <a:xfrm rot="5400000">
          <a:off x="1338564" y="10492332"/>
          <a:ext cx="0" cy="2058216"/>
        </a:xfrm>
        <a:prstGeom prst="homePlate">
          <a:avLst>
            <a:gd name="adj" fmla="val 191"/>
          </a:avLst>
        </a:prstGeom>
        <a:solidFill>
          <a:schemeClr val="accent3">
            <a:lumMod val="20000"/>
            <a:lumOff val="80000"/>
          </a:schemeClr>
        </a:solidFill>
        <a:ln w="9525">
          <a:solidFill>
            <a:srgbClr val="000000"/>
          </a:solidFill>
          <a:miter lim="800000"/>
          <a:headEnd/>
          <a:tailEnd/>
        </a:ln>
      </xdr:spPr>
      <xdr:txBody>
        <a:bodyPr vertOverflow="clip" wrap="square" lIns="36576" tIns="27432" rIns="36576" bIns="27432" anchor="ctr" upright="1"/>
        <a:lstStyle/>
        <a:p>
          <a:pPr algn="ctr" rtl="0">
            <a:defRPr sz="1000"/>
          </a:pPr>
          <a:r>
            <a:rPr lang="en-GB" sz="1200" b="1" i="0" u="none" strike="noStrike" baseline="0">
              <a:solidFill>
                <a:srgbClr val="000000"/>
              </a:solidFill>
              <a:latin typeface="Arial"/>
              <a:cs typeface="Arial"/>
            </a:rPr>
            <a:t>Appendix A</a:t>
          </a:r>
          <a:endParaRPr lang="en-GB"/>
        </a:p>
      </xdr:txBody>
    </xdr:sp>
    <xdr:clientData/>
  </xdr:twoCellAnchor>
  <xdr:twoCellAnchor>
    <xdr:from>
      <xdr:col>1</xdr:col>
      <xdr:colOff>1058</xdr:colOff>
      <xdr:row>48</xdr:row>
      <xdr:rowOff>79358</xdr:rowOff>
    </xdr:from>
    <xdr:to>
      <xdr:col>2</xdr:col>
      <xdr:colOff>646801</xdr:colOff>
      <xdr:row>51</xdr:row>
      <xdr:rowOff>63483</xdr:rowOff>
    </xdr:to>
    <xdr:sp macro="" textlink="">
      <xdr:nvSpPr>
        <xdr:cNvPr id="7" name="AutoShape 3">
          <a:extLst>
            <a:ext uri="{FF2B5EF4-FFF2-40B4-BE49-F238E27FC236}">
              <a16:creationId xmlns="" xmlns:a16="http://schemas.microsoft.com/office/drawing/2014/main" id="{00000000-0008-0000-0100-000007000000}"/>
            </a:ext>
          </a:extLst>
        </xdr:cNvPr>
        <xdr:cNvSpPr>
          <a:spLocks noChangeArrowheads="1"/>
        </xdr:cNvSpPr>
      </xdr:nvSpPr>
      <xdr:spPr bwMode="auto">
        <a:xfrm rot="5400000">
          <a:off x="1073902" y="7017039"/>
          <a:ext cx="469900" cy="2005987"/>
        </a:xfrm>
        <a:prstGeom prst="homePlate">
          <a:avLst>
            <a:gd name="adj" fmla="val 25000"/>
          </a:avLst>
        </a:prstGeom>
        <a:gradFill>
          <a:gsLst>
            <a:gs pos="24000">
              <a:schemeClr val="accent2">
                <a:lumMod val="40000"/>
                <a:lumOff val="60000"/>
              </a:schemeClr>
            </a:gs>
            <a:gs pos="75000">
              <a:schemeClr val="accent3">
                <a:lumMod val="40000"/>
                <a:lumOff val="60000"/>
              </a:schemeClr>
            </a:gs>
          </a:gsLst>
          <a:lin ang="5400000" scaled="0"/>
        </a:gradFill>
        <a:ln w="9525">
          <a:solidFill>
            <a:srgbClr val="000000"/>
          </a:solidFill>
          <a:miter lim="800000"/>
          <a:headEnd/>
          <a:tailEnd/>
        </a:ln>
      </xdr:spPr>
      <xdr:txBody>
        <a:bodyPr vertOverflow="clip" wrap="square" lIns="36576" tIns="27432" rIns="36576" bIns="27432" anchor="ctr" upright="1"/>
        <a:lstStyle/>
        <a:p>
          <a:pPr algn="ctr" rtl="0">
            <a:defRPr sz="1000"/>
          </a:pPr>
          <a:r>
            <a:rPr lang="en-GB" sz="1200" b="1" i="0" u="none" strike="noStrike" baseline="0">
              <a:solidFill>
                <a:srgbClr val="000000"/>
              </a:solidFill>
              <a:latin typeface="Arial"/>
              <a:cs typeface="Arial"/>
            </a:rPr>
            <a:t>6 - IG &amp; Security</a:t>
          </a:r>
        </a:p>
      </xdr:txBody>
    </xdr:sp>
    <xdr:clientData/>
  </xdr:twoCellAnchor>
  <xdr:twoCellAnchor>
    <xdr:from>
      <xdr:col>1</xdr:col>
      <xdr:colOff>0</xdr:colOff>
      <xdr:row>52</xdr:row>
      <xdr:rowOff>74065</xdr:rowOff>
    </xdr:from>
    <xdr:to>
      <xdr:col>2</xdr:col>
      <xdr:colOff>645743</xdr:colOff>
      <xdr:row>55</xdr:row>
      <xdr:rowOff>99524</xdr:rowOff>
    </xdr:to>
    <xdr:sp macro="" textlink="">
      <xdr:nvSpPr>
        <xdr:cNvPr id="9" name="AutoShape 4">
          <a:extLst>
            <a:ext uri="{FF2B5EF4-FFF2-40B4-BE49-F238E27FC236}">
              <a16:creationId xmlns="" xmlns:a16="http://schemas.microsoft.com/office/drawing/2014/main" id="{00000000-0008-0000-0100-000009000000}"/>
            </a:ext>
          </a:extLst>
        </xdr:cNvPr>
        <xdr:cNvSpPr>
          <a:spLocks noChangeArrowheads="1"/>
        </xdr:cNvSpPr>
      </xdr:nvSpPr>
      <xdr:spPr bwMode="auto">
        <a:xfrm rot="5400000">
          <a:off x="1052177" y="7680113"/>
          <a:ext cx="511234" cy="2005987"/>
        </a:xfrm>
        <a:prstGeom prst="homePlate">
          <a:avLst>
            <a:gd name="adj" fmla="val 25000"/>
          </a:avLst>
        </a:prstGeom>
        <a:solidFill>
          <a:schemeClr val="accent3">
            <a:lumMod val="40000"/>
            <a:lumOff val="60000"/>
          </a:schemeClr>
        </a:solidFill>
        <a:ln w="9525">
          <a:solidFill>
            <a:srgbClr val="000000"/>
          </a:solidFill>
          <a:miter lim="800000"/>
          <a:headEnd/>
          <a:tailEnd/>
        </a:ln>
      </xdr:spPr>
      <xdr:txBody>
        <a:bodyPr vertOverflow="clip" wrap="square" lIns="36576" tIns="27432" rIns="36576" bIns="27432" anchor="ctr" upright="1"/>
        <a:lstStyle/>
        <a:p>
          <a:pPr algn="ctr" rtl="0">
            <a:defRPr sz="1000"/>
          </a:pPr>
          <a:r>
            <a:rPr lang="en-GB" sz="1200" b="1" i="0" u="none" strike="noStrike" baseline="0">
              <a:solidFill>
                <a:srgbClr val="000000"/>
              </a:solidFill>
              <a:latin typeface="Arial"/>
              <a:cs typeface="Arial"/>
            </a:rPr>
            <a:t>7 - Clinical Safety</a:t>
          </a:r>
        </a:p>
      </xdr:txBody>
    </xdr:sp>
    <xdr:clientData/>
  </xdr:twoCellAnchor>
  <xdr:twoCellAnchor>
    <xdr:from>
      <xdr:col>1</xdr:col>
      <xdr:colOff>4232</xdr:colOff>
      <xdr:row>44</xdr:row>
      <xdr:rowOff>91423</xdr:rowOff>
    </xdr:from>
    <xdr:to>
      <xdr:col>2</xdr:col>
      <xdr:colOff>645693</xdr:colOff>
      <xdr:row>47</xdr:row>
      <xdr:rowOff>74114</xdr:rowOff>
    </xdr:to>
    <xdr:sp macro="" textlink="">
      <xdr:nvSpPr>
        <xdr:cNvPr id="8" name="AutoShape 5">
          <a:extLst>
            <a:ext uri="{FF2B5EF4-FFF2-40B4-BE49-F238E27FC236}">
              <a16:creationId xmlns="" xmlns:a16="http://schemas.microsoft.com/office/drawing/2014/main" id="{00000000-0008-0000-0100-000008000000}"/>
            </a:ext>
          </a:extLst>
        </xdr:cNvPr>
        <xdr:cNvSpPr>
          <a:spLocks noChangeArrowheads="1"/>
        </xdr:cNvSpPr>
      </xdr:nvSpPr>
      <xdr:spPr bwMode="auto">
        <a:xfrm rot="5400000">
          <a:off x="1072896" y="6379869"/>
          <a:ext cx="474090" cy="2001818"/>
        </a:xfrm>
        <a:prstGeom prst="homePlate">
          <a:avLst>
            <a:gd name="adj" fmla="val 25000"/>
          </a:avLst>
        </a:prstGeom>
        <a:solidFill>
          <a:schemeClr val="accent2">
            <a:lumMod val="40000"/>
            <a:lumOff val="60000"/>
          </a:schemeClr>
        </a:solidFill>
        <a:ln w="9525">
          <a:solidFill>
            <a:srgbClr val="000000"/>
          </a:solidFill>
          <a:miter lim="800000"/>
          <a:headEnd/>
          <a:tailEnd/>
        </a:ln>
      </xdr:spPr>
      <xdr:txBody>
        <a:bodyPr vertOverflow="clip" wrap="square" lIns="36576" tIns="27432" rIns="36576" bIns="27432" anchor="ctr" upright="1"/>
        <a:lstStyle/>
        <a:p>
          <a:pPr algn="ctr" rtl="0">
            <a:defRPr sz="1000"/>
          </a:pPr>
          <a:r>
            <a:rPr lang="en-GB" sz="1200" b="1" i="0" u="none" strike="noStrike" baseline="0">
              <a:solidFill>
                <a:srgbClr val="000000"/>
              </a:solidFill>
              <a:latin typeface="Arial"/>
              <a:cs typeface="Arial"/>
            </a:rPr>
            <a:t>5 - Architecture</a:t>
          </a:r>
        </a:p>
      </xdr:txBody>
    </xdr:sp>
    <xdr:clientData/>
  </xdr:twoCellAnchor>
  <xdr:twoCellAnchor>
    <xdr:from>
      <xdr:col>1</xdr:col>
      <xdr:colOff>11645</xdr:colOff>
      <xdr:row>31</xdr:row>
      <xdr:rowOff>134614</xdr:rowOff>
    </xdr:from>
    <xdr:to>
      <xdr:col>2</xdr:col>
      <xdr:colOff>679994</xdr:colOff>
      <xdr:row>34</xdr:row>
      <xdr:rowOff>141923</xdr:rowOff>
    </xdr:to>
    <xdr:sp macro="" textlink="">
      <xdr:nvSpPr>
        <xdr:cNvPr id="10" name="AutoShape 1">
          <a:extLst>
            <a:ext uri="{FF2B5EF4-FFF2-40B4-BE49-F238E27FC236}">
              <a16:creationId xmlns="" xmlns:a16="http://schemas.microsoft.com/office/drawing/2014/main" id="{00000000-0008-0000-0100-00000A000000}"/>
            </a:ext>
          </a:extLst>
        </xdr:cNvPr>
        <xdr:cNvSpPr>
          <a:spLocks noChangeArrowheads="1"/>
        </xdr:cNvSpPr>
      </xdr:nvSpPr>
      <xdr:spPr bwMode="auto">
        <a:xfrm rot="5400000">
          <a:off x="1076622" y="4327437"/>
          <a:ext cx="493084" cy="2013438"/>
        </a:xfrm>
        <a:prstGeom prst="homePlate">
          <a:avLst>
            <a:gd name="adj" fmla="val 25000"/>
          </a:avLst>
        </a:prstGeom>
        <a:solidFill>
          <a:schemeClr val="accent2">
            <a:lumMod val="60000"/>
            <a:lumOff val="40000"/>
          </a:schemeClr>
        </a:solidFill>
        <a:ln w="9525">
          <a:solidFill>
            <a:srgbClr val="000000"/>
          </a:solidFill>
          <a:miter lim="800000"/>
          <a:headEnd/>
          <a:tailEnd/>
        </a:ln>
      </xdr:spPr>
      <xdr:txBody>
        <a:bodyPr vertOverflow="clip" wrap="square" lIns="36576" tIns="27432" rIns="36576" bIns="27432" anchor="ctr" upright="1"/>
        <a:lstStyle/>
        <a:p>
          <a:pPr algn="ctr" rtl="0">
            <a:defRPr sz="1000"/>
          </a:pPr>
          <a:r>
            <a:rPr lang="en-GB" sz="1200" b="1" i="0" u="none" strike="noStrike" baseline="0">
              <a:solidFill>
                <a:srgbClr val="000000"/>
              </a:solidFill>
              <a:latin typeface="Arial"/>
              <a:cs typeface="Arial"/>
            </a:rPr>
            <a:t>2 - Supplier Information</a:t>
          </a:r>
        </a:p>
      </xdr:txBody>
    </xdr:sp>
    <xdr:clientData/>
  </xdr:twoCellAnchor>
  <xdr:twoCellAnchor>
    <xdr:from>
      <xdr:col>1</xdr:col>
      <xdr:colOff>91342</xdr:colOff>
      <xdr:row>1</xdr:row>
      <xdr:rowOff>61480</xdr:rowOff>
    </xdr:from>
    <xdr:to>
      <xdr:col>15</xdr:col>
      <xdr:colOff>597650</xdr:colOff>
      <xdr:row>25</xdr:row>
      <xdr:rowOff>80531</xdr:rowOff>
    </xdr:to>
    <xdr:sp macro="" textlink="">
      <xdr:nvSpPr>
        <xdr:cNvPr id="11" name="Title 1">
          <a:extLst>
            <a:ext uri="{FF2B5EF4-FFF2-40B4-BE49-F238E27FC236}">
              <a16:creationId xmlns="" xmlns:a16="http://schemas.microsoft.com/office/drawing/2014/main" id="{00000000-0008-0000-0100-00000B000000}"/>
            </a:ext>
          </a:extLst>
        </xdr:cNvPr>
        <xdr:cNvSpPr>
          <a:spLocks noGrp="1"/>
        </xdr:cNvSpPr>
      </xdr:nvSpPr>
      <xdr:spPr>
        <a:xfrm>
          <a:off x="390427" y="318655"/>
          <a:ext cx="13626043" cy="3743326"/>
        </a:xfrm>
        <a:prstGeom prst="rect">
          <a:avLst/>
        </a:prstGeom>
        <a:noFill/>
        <a:ln w="19050">
          <a:solidFill>
            <a:schemeClr val="tx1"/>
          </a:solidFill>
        </a:ln>
      </xdr:spPr>
      <xdr:txBody>
        <a:bodyPr vert="horz" wrap="square" lIns="91440" tIns="45720" rIns="91440" bIns="45720" rtlCol="0" anchor="ctr">
          <a:noAutofit/>
        </a:bodyPr>
        <a:lstStyle>
          <a:lvl1pPr algn="ctr" defTabSz="914400" rtl="0" eaLnBrk="1" latinLnBrk="0" hangingPunct="1">
            <a:spcBef>
              <a:spcPct val="0"/>
            </a:spcBef>
            <a:buNone/>
            <a:defRPr sz="4400" kern="1200">
              <a:solidFill>
                <a:schemeClr val="tx1"/>
              </a:solidFill>
              <a:latin typeface="+mj-lt"/>
              <a:ea typeface="+mj-ea"/>
              <a:cs typeface="+mj-cs"/>
            </a:defRPr>
          </a:lvl1pPr>
        </a:lstStyle>
        <a:p>
          <a:pPr algn="l">
            <a:lnSpc>
              <a:spcPts val="900"/>
            </a:lnSpc>
          </a:pPr>
          <a:endParaRPr lang="en-GB" sz="1000" b="1" baseline="0">
            <a:latin typeface="Arial" pitchFamily="34" charset="0"/>
            <a:cs typeface="Arial" pitchFamily="34" charset="0"/>
          </a:endParaRPr>
        </a:p>
        <a:p>
          <a:pPr algn="l">
            <a:lnSpc>
              <a:spcPts val="900"/>
            </a:lnSpc>
          </a:pPr>
          <a:r>
            <a:rPr lang="en-GB" sz="1100" b="1" baseline="0">
              <a:solidFill>
                <a:schemeClr val="tx1"/>
              </a:solidFill>
              <a:latin typeface="Arial" pitchFamily="34" charset="0"/>
              <a:cs typeface="Arial" pitchFamily="34" charset="0"/>
            </a:rPr>
            <a:t>Phase 1A - Usage and Settings submission for approval by NHS Digital </a:t>
          </a:r>
        </a:p>
        <a:p>
          <a:pPr algn="l">
            <a:lnSpc>
              <a:spcPts val="900"/>
            </a:lnSpc>
          </a:pPr>
          <a:r>
            <a:rPr lang="en-GB" sz="1000" baseline="0">
              <a:solidFill>
                <a:schemeClr val="tx1"/>
              </a:solidFill>
              <a:latin typeface="Arial" pitchFamily="34" charset="0"/>
              <a:cs typeface="Arial" pitchFamily="34" charset="0"/>
            </a:rPr>
            <a:t>This phase determines if a request to interact with the datasets owned and controlled by NHS Digital  is appropriate. The Target Operating Model (TOM) captures the proposed usage  and settings  statement (in End User tab)  for assessment by NHS Digital. The assessment will confirm the legal basis for sharing  this data with the End User Organisation and in some cases with the Solution Supplier, and establish if a Data Sharing Framework Contract (DSFC) and Data Sharing Agreement (DSA) </a:t>
          </a:r>
          <a:r>
            <a:rPr lang="en-GB" sz="1000" strike="noStrike" baseline="0">
              <a:solidFill>
                <a:schemeClr val="tx1"/>
              </a:solidFill>
              <a:latin typeface="Arial" pitchFamily="34" charset="0"/>
              <a:cs typeface="Arial" pitchFamily="34" charset="0"/>
            </a:rPr>
            <a:t>are required </a:t>
          </a:r>
          <a:r>
            <a:rPr lang="en-GB" sz="1000" baseline="0">
              <a:solidFill>
                <a:schemeClr val="tx1"/>
              </a:solidFill>
              <a:latin typeface="Arial" pitchFamily="34" charset="0"/>
              <a:cs typeface="Arial" pitchFamily="34" charset="0"/>
            </a:rPr>
            <a:t>between NHS Digital and the requesting organisation. Following NHS Digital's assessment of the usage and settings information, the TOM will be returned with the outcome detailed in the 'Approval' tab.</a:t>
          </a:r>
        </a:p>
        <a:p>
          <a:pPr algn="l">
            <a:lnSpc>
              <a:spcPts val="1000"/>
            </a:lnSpc>
          </a:pPr>
          <a:r>
            <a:rPr lang="en-GB" sz="1000" baseline="0">
              <a:solidFill>
                <a:schemeClr val="tx1"/>
              </a:solidFill>
              <a:latin typeface="Arial" pitchFamily="34" charset="0"/>
              <a:cs typeface="Arial" pitchFamily="34" charset="0"/>
            </a:rPr>
            <a:t>Please note that to gain approval for this phase, both the End User Organisation and the Solution Supplier need to be </a:t>
          </a:r>
          <a:r>
            <a:rPr lang="en-GB" sz="1000" baseline="0">
              <a:solidFill>
                <a:sysClr val="windowText" lastClr="000000"/>
              </a:solidFill>
              <a:latin typeface="Arial" pitchFamily="34" charset="0"/>
              <a:cs typeface="Arial" pitchFamily="34" charset="0"/>
            </a:rPr>
            <a:t>IGSoC compliant. Further information on IGSoC compliance can be found under the following link </a:t>
          </a:r>
          <a:r>
            <a:rPr lang="en-GB" sz="1000" kern="1200" baseline="0">
              <a:solidFill>
                <a:schemeClr val="tx1"/>
              </a:solidFill>
              <a:effectLst/>
              <a:latin typeface="Arial" panose="020B0604020202020204" pitchFamily="34" charset="0"/>
              <a:ea typeface="+mj-ea"/>
              <a:cs typeface="Arial" panose="020B0604020202020204" pitchFamily="34" charset="0"/>
            </a:rPr>
            <a:t>https://digital.nhs.uk/health-social-care-network/new-to-hscn/connecting-to-HSCN#</a:t>
          </a:r>
          <a:endParaRPr lang="en-GB" sz="1000" baseline="0">
            <a:solidFill>
              <a:sysClr val="windowText" lastClr="000000"/>
            </a:solidFill>
            <a:latin typeface="Arial" pitchFamily="34" charset="0"/>
            <a:cs typeface="Arial" pitchFamily="34" charset="0"/>
          </a:endParaRPr>
        </a:p>
        <a:p>
          <a:pPr algn="l">
            <a:lnSpc>
              <a:spcPts val="1000"/>
            </a:lnSpc>
          </a:pPr>
          <a:endParaRPr lang="en-GB" sz="1000" i="0" baseline="0">
            <a:solidFill>
              <a:schemeClr val="tx1"/>
            </a:solidFill>
            <a:latin typeface="Arial" pitchFamily="34" charset="0"/>
            <a:cs typeface="Arial" pitchFamily="34" charset="0"/>
          </a:endParaRPr>
        </a:p>
        <a:p>
          <a:pPr algn="l">
            <a:lnSpc>
              <a:spcPts val="1000"/>
            </a:lnSpc>
          </a:pPr>
          <a:endParaRPr lang="en-GB" sz="1000" i="0" strike="sngStrike" baseline="0">
            <a:solidFill>
              <a:schemeClr val="tx1"/>
            </a:solidFill>
            <a:latin typeface="Arial" pitchFamily="34" charset="0"/>
            <a:cs typeface="Arial" pitchFamily="34" charset="0"/>
          </a:endParaRPr>
        </a:p>
        <a:p>
          <a:pPr algn="l">
            <a:lnSpc>
              <a:spcPts val="1000"/>
            </a:lnSpc>
          </a:pPr>
          <a:r>
            <a:rPr lang="en-GB" sz="1050" b="1" i="0" strike="noStrike" baseline="0">
              <a:solidFill>
                <a:sysClr val="windowText" lastClr="000000"/>
              </a:solidFill>
              <a:latin typeface="Arial" pitchFamily="34" charset="0"/>
              <a:cs typeface="Arial" pitchFamily="34" charset="0"/>
            </a:rPr>
            <a:t>Phase 1B - Technical Conformance for approval by NHS Digital</a:t>
          </a:r>
        </a:p>
        <a:p>
          <a:pPr algn="l">
            <a:lnSpc>
              <a:spcPts val="1000"/>
            </a:lnSpc>
          </a:pPr>
          <a:r>
            <a:rPr lang="en-GB" sz="1000">
              <a:solidFill>
                <a:sysClr val="windowText" lastClr="000000"/>
              </a:solidFill>
              <a:effectLst/>
              <a:latin typeface="Arial"/>
              <a:ea typeface="Calibri"/>
              <a:cs typeface="Times New Roman"/>
            </a:rPr>
            <a:t>This phase assesses technical conformance of the Product (i.e. the proposed API based implementation) developed by the Solution Supplier in line with the requirements. The API Ecosystem guidance on the Health Developer Network</a:t>
          </a:r>
          <a:r>
            <a:rPr lang="en-GB" sz="1000" baseline="0">
              <a:solidFill>
                <a:sysClr val="windowText" lastClr="000000"/>
              </a:solidFill>
              <a:effectLst/>
              <a:latin typeface="Arial"/>
              <a:ea typeface="Calibri"/>
              <a:cs typeface="Times New Roman"/>
            </a:rPr>
            <a:t> (https://developer.nhs.uk/library/systems/e-rs/) </a:t>
          </a:r>
          <a:r>
            <a:rPr lang="en-GB" sz="1000">
              <a:solidFill>
                <a:sysClr val="windowText" lastClr="000000"/>
              </a:solidFill>
              <a:effectLst/>
              <a:latin typeface="Arial"/>
              <a:ea typeface="Calibri"/>
              <a:cs typeface="Times New Roman"/>
            </a:rPr>
            <a:t>explains in detail the overall requirements in scope, which in summary includes</a:t>
          </a:r>
          <a:r>
            <a:rPr lang="en-GB" sz="1000" baseline="0">
              <a:solidFill>
                <a:sysClr val="windowText" lastClr="000000"/>
              </a:solidFill>
              <a:effectLst/>
              <a:latin typeface="Arial"/>
              <a:ea typeface="Calibri"/>
              <a:cs typeface="Times New Roman"/>
            </a:rPr>
            <a:t> </a:t>
          </a:r>
          <a:r>
            <a:rPr lang="en-GB" sz="1000">
              <a:solidFill>
                <a:sysClr val="windowText" lastClr="000000"/>
              </a:solidFill>
              <a:effectLst/>
              <a:latin typeface="Arial"/>
              <a:ea typeface="Calibri"/>
              <a:cs typeface="Times New Roman"/>
            </a:rPr>
            <a:t>the generic connectivity approach, the implementation</a:t>
          </a:r>
          <a:r>
            <a:rPr lang="en-GB" sz="1000" baseline="0">
              <a:solidFill>
                <a:sysClr val="windowText" lastClr="000000"/>
              </a:solidFill>
              <a:effectLst/>
              <a:latin typeface="Arial"/>
              <a:ea typeface="Calibri"/>
              <a:cs typeface="Times New Roman"/>
            </a:rPr>
            <a:t> </a:t>
          </a:r>
          <a:r>
            <a:rPr lang="en-GB" sz="1000">
              <a:solidFill>
                <a:sysClr val="windowText" lastClr="000000"/>
              </a:solidFill>
              <a:effectLst/>
              <a:latin typeface="Arial"/>
              <a:ea typeface="Calibri"/>
              <a:cs typeface="Times New Roman"/>
            </a:rPr>
            <a:t>usage and settings, the pre-requisite technical requirements, and the specific e-RS</a:t>
          </a:r>
          <a:r>
            <a:rPr lang="en-GB" sz="1000" baseline="0">
              <a:solidFill>
                <a:sysClr val="windowText" lastClr="000000"/>
              </a:solidFill>
              <a:effectLst/>
              <a:latin typeface="Arial"/>
              <a:ea typeface="Calibri"/>
              <a:cs typeface="Times New Roman"/>
            </a:rPr>
            <a:t> API </a:t>
          </a:r>
          <a:r>
            <a:rPr lang="en-GB" sz="1000">
              <a:solidFill>
                <a:sysClr val="windowText" lastClr="000000"/>
              </a:solidFill>
              <a:effectLst/>
              <a:latin typeface="Arial"/>
              <a:ea typeface="Calibri"/>
              <a:cs typeface="Times New Roman"/>
            </a:rPr>
            <a:t>requirements specified in tabs 9.x. Technical Conformance assessment involves initial</a:t>
          </a:r>
          <a:r>
            <a:rPr lang="en-GB" sz="1000" baseline="0">
              <a:solidFill>
                <a:sysClr val="windowText" lastClr="000000"/>
              </a:solidFill>
              <a:effectLst/>
              <a:latin typeface="Arial"/>
              <a:ea typeface="Calibri"/>
              <a:cs typeface="Times New Roman"/>
            </a:rPr>
            <a:t> connectivity</a:t>
          </a:r>
          <a:r>
            <a:rPr lang="en-GB" sz="1000">
              <a:solidFill>
                <a:sysClr val="windowText" lastClr="000000"/>
              </a:solidFill>
              <a:effectLst/>
              <a:latin typeface="Arial"/>
              <a:ea typeface="Calibri"/>
              <a:cs typeface="Times New Roman"/>
            </a:rPr>
            <a:t> against an NHS Digital supplied Path-To-Live</a:t>
          </a:r>
          <a:r>
            <a:rPr lang="en-GB" sz="1000" baseline="0">
              <a:solidFill>
                <a:sysClr val="windowText" lastClr="000000"/>
              </a:solidFill>
              <a:effectLst/>
              <a:latin typeface="Arial"/>
              <a:ea typeface="Calibri"/>
              <a:cs typeface="Times New Roman"/>
            </a:rPr>
            <a:t> (PTL) environments</a:t>
          </a:r>
          <a:r>
            <a:rPr lang="en-GB" sz="1000">
              <a:solidFill>
                <a:sysClr val="windowText" lastClr="000000"/>
              </a:solidFill>
              <a:effectLst/>
              <a:latin typeface="Arial"/>
              <a:ea typeface="Calibri"/>
              <a:cs typeface="Times New Roman"/>
            </a:rPr>
            <a:t>, followed by further comprehensive, end-to-end, security</a:t>
          </a:r>
          <a:r>
            <a:rPr lang="en-GB" sz="1000" baseline="0">
              <a:solidFill>
                <a:sysClr val="windowText" lastClr="000000"/>
              </a:solidFill>
              <a:effectLst/>
              <a:latin typeface="Arial"/>
              <a:ea typeface="Calibri"/>
              <a:cs typeface="Times New Roman"/>
            </a:rPr>
            <a:t> and performance </a:t>
          </a:r>
          <a:r>
            <a:rPr lang="en-GB" sz="1000">
              <a:solidFill>
                <a:sysClr val="windowText" lastClr="000000"/>
              </a:solidFill>
              <a:effectLst/>
              <a:latin typeface="Arial"/>
              <a:ea typeface="Calibri"/>
              <a:cs typeface="Times New Roman"/>
            </a:rPr>
            <a:t>testing. Once these are completed to the satisfactory level NHS Digital will issue a statement of technical conformance in the Approval's tab of the TOM.</a:t>
          </a:r>
          <a:endParaRPr lang="en-GB" sz="1000" baseline="0">
            <a:solidFill>
              <a:sysClr val="windowText" lastClr="000000"/>
            </a:solidFill>
            <a:latin typeface="Arial" pitchFamily="34" charset="0"/>
            <a:cs typeface="Arial" pitchFamily="34" charset="0"/>
          </a:endParaRPr>
        </a:p>
        <a:p>
          <a:pPr algn="l">
            <a:lnSpc>
              <a:spcPts val="1000"/>
            </a:lnSpc>
          </a:pPr>
          <a:endParaRPr lang="en-GB" sz="1000" baseline="0">
            <a:solidFill>
              <a:sysClr val="windowText" lastClr="000000"/>
            </a:solidFill>
            <a:latin typeface="Arial" pitchFamily="34" charset="0"/>
            <a:cs typeface="Arial" pitchFamily="34" charset="0"/>
          </a:endParaRPr>
        </a:p>
        <a:p>
          <a:pPr algn="l">
            <a:lnSpc>
              <a:spcPts val="1000"/>
            </a:lnSpc>
          </a:pPr>
          <a:r>
            <a:rPr lang="en-GB" sz="1050" b="1">
              <a:solidFill>
                <a:sysClr val="windowText" lastClr="000000"/>
              </a:solidFill>
              <a:latin typeface="Arial" pitchFamily="34" charset="0"/>
              <a:cs typeface="Arial" pitchFamily="34" charset="0"/>
            </a:rPr>
            <a:t>Phase 2 - Full TOM and Product evaluation by the End User Organisation</a:t>
          </a:r>
          <a:r>
            <a:rPr lang="en-GB" sz="1050" b="1" baseline="0">
              <a:solidFill>
                <a:sysClr val="windowText" lastClr="000000"/>
              </a:solidFill>
              <a:latin typeface="Arial" pitchFamily="34" charset="0"/>
              <a:cs typeface="Arial" pitchFamily="34" charset="0"/>
            </a:rPr>
            <a:t> </a:t>
          </a:r>
        </a:p>
        <a:p>
          <a:pPr algn="l">
            <a:lnSpc>
              <a:spcPts val="1000"/>
            </a:lnSpc>
          </a:pPr>
          <a:r>
            <a:rPr lang="en-GB" sz="1000">
              <a:solidFill>
                <a:sysClr val="windowText" lastClr="000000"/>
              </a:solidFill>
              <a:latin typeface="Arial" pitchFamily="34" charset="0"/>
              <a:cs typeface="Arial" pitchFamily="34" charset="0"/>
            </a:rPr>
            <a:t>The purpose of this phase is</a:t>
          </a:r>
          <a:r>
            <a:rPr lang="en-GB" sz="1000" baseline="0">
              <a:solidFill>
                <a:sysClr val="windowText" lastClr="000000"/>
              </a:solidFill>
              <a:latin typeface="Arial" pitchFamily="34" charset="0"/>
              <a:cs typeface="Arial" pitchFamily="34" charset="0"/>
            </a:rPr>
            <a:t> to obtain the End User organisation in providing the approval of the TOM and the Service provided by the Solution Supplier. </a:t>
          </a:r>
          <a:r>
            <a:rPr lang="en-GB" sz="1000">
              <a:solidFill>
                <a:sysClr val="windowText" lastClr="000000"/>
              </a:solidFill>
              <a:latin typeface="Arial" pitchFamily="34" charset="0"/>
              <a:cs typeface="Arial" pitchFamily="34" charset="0"/>
            </a:rPr>
            <a:t/>
          </a:r>
          <a:br>
            <a:rPr lang="en-GB" sz="1000">
              <a:solidFill>
                <a:sysClr val="windowText" lastClr="000000"/>
              </a:solidFill>
              <a:latin typeface="Arial" pitchFamily="34" charset="0"/>
              <a:cs typeface="Arial" pitchFamily="34" charset="0"/>
            </a:rPr>
          </a:br>
          <a:r>
            <a:rPr lang="en-GB" sz="1000">
              <a:solidFill>
                <a:sysClr val="windowText" lastClr="000000"/>
              </a:solidFill>
              <a:latin typeface="Arial" pitchFamily="34" charset="0"/>
              <a:cs typeface="Arial" pitchFamily="34" charset="0"/>
            </a:rPr>
            <a:t/>
          </a:r>
          <a:br>
            <a:rPr lang="en-GB" sz="1000">
              <a:solidFill>
                <a:sysClr val="windowText" lastClr="000000"/>
              </a:solidFill>
              <a:latin typeface="Arial" pitchFamily="34" charset="0"/>
              <a:cs typeface="Arial" pitchFamily="34" charset="0"/>
            </a:rPr>
          </a:br>
          <a:r>
            <a:rPr lang="en-GB" sz="1000">
              <a:solidFill>
                <a:sysClr val="windowText" lastClr="000000"/>
              </a:solidFill>
              <a:latin typeface="Arial" pitchFamily="34" charset="0"/>
              <a:cs typeface="Arial" pitchFamily="34" charset="0"/>
            </a:rPr>
            <a:t>The End User Organisation requesting the e-RS API service connection is responsible for ensuring conformance with the guidance in this document as stated</a:t>
          </a:r>
          <a:r>
            <a:rPr lang="en-GB" sz="1000" baseline="0">
              <a:solidFill>
                <a:sysClr val="windowText" lastClr="000000"/>
              </a:solidFill>
              <a:latin typeface="Arial" pitchFamily="34" charset="0"/>
              <a:cs typeface="Arial" pitchFamily="34" charset="0"/>
            </a:rPr>
            <a:t> in the End User Policy</a:t>
          </a:r>
          <a:r>
            <a:rPr lang="en-GB" sz="1000">
              <a:solidFill>
                <a:sysClr val="windowText" lastClr="000000"/>
              </a:solidFill>
              <a:latin typeface="Arial" pitchFamily="34" charset="0"/>
              <a:cs typeface="Arial" pitchFamily="34" charset="0"/>
            </a:rPr>
            <a:t>, as this will not be centrally assured by NHS Digital. The End User Organisation requesting the e-RS API service connection is responsible for approving the</a:t>
          </a:r>
          <a:r>
            <a:rPr lang="en-GB" sz="1000" baseline="0">
              <a:solidFill>
                <a:sysClr val="windowText" lastClr="000000"/>
              </a:solidFill>
              <a:latin typeface="Arial" pitchFamily="34" charset="0"/>
              <a:cs typeface="Arial" pitchFamily="34" charset="0"/>
            </a:rPr>
            <a:t> Service evaluation against the TOM and  accepting any risks highlighted throughout this document.</a:t>
          </a:r>
          <a:r>
            <a:rPr lang="en-GB" sz="1000">
              <a:solidFill>
                <a:sysClr val="windowText" lastClr="000000"/>
              </a:solidFill>
              <a:latin typeface="Arial" pitchFamily="34" charset="0"/>
              <a:cs typeface="Arial" pitchFamily="34" charset="0"/>
            </a:rPr>
            <a:t/>
          </a:r>
          <a:br>
            <a:rPr lang="en-GB" sz="1000">
              <a:solidFill>
                <a:sysClr val="windowText" lastClr="000000"/>
              </a:solidFill>
              <a:latin typeface="Arial" pitchFamily="34" charset="0"/>
              <a:cs typeface="Arial" pitchFamily="34" charset="0"/>
            </a:rPr>
          </a:br>
          <a:r>
            <a:rPr lang="en-GB" sz="1000">
              <a:solidFill>
                <a:sysClr val="windowText" lastClr="000000"/>
              </a:solidFill>
              <a:latin typeface="Arial" pitchFamily="34" charset="0"/>
              <a:cs typeface="Arial" pitchFamily="34" charset="0"/>
            </a:rPr>
            <a:t/>
          </a:r>
          <a:br>
            <a:rPr lang="en-GB" sz="1000">
              <a:solidFill>
                <a:sysClr val="windowText" lastClr="000000"/>
              </a:solidFill>
              <a:latin typeface="Arial" pitchFamily="34" charset="0"/>
              <a:cs typeface="Arial" pitchFamily="34" charset="0"/>
            </a:rPr>
          </a:br>
          <a:r>
            <a:rPr lang="en-GB" sz="1000">
              <a:solidFill>
                <a:sysClr val="windowText" lastClr="000000"/>
              </a:solidFill>
              <a:latin typeface="Arial" pitchFamily="34" charset="0"/>
              <a:cs typeface="Arial" pitchFamily="34" charset="0"/>
            </a:rPr>
            <a:t>Any non-conformance with a 'Compliant' </a:t>
          </a:r>
          <a:r>
            <a:rPr lang="en-GB" sz="1000" baseline="0">
              <a:solidFill>
                <a:sysClr val="windowText" lastClr="000000"/>
              </a:solidFill>
              <a:latin typeface="Arial" pitchFamily="34" charset="0"/>
              <a:cs typeface="Arial" pitchFamily="34" charset="0"/>
            </a:rPr>
            <a:t>or '</a:t>
          </a:r>
          <a:r>
            <a:rPr lang="en-GB" sz="1000">
              <a:solidFill>
                <a:sysClr val="windowText" lastClr="000000"/>
              </a:solidFill>
              <a:latin typeface="Arial" pitchFamily="34" charset="0"/>
              <a:cs typeface="Arial" pitchFamily="34" charset="0"/>
            </a:rPr>
            <a:t>MUST' requirement on the tab(s) '5 to 9.x' MUST be formally reported to NHS Digital so that the risks to national systems can be assessed. Dependant on the results of this risk assessment, NHS Digital reserves the right to refuse the use of an e-RS API connection.</a:t>
          </a:r>
          <a:br>
            <a:rPr lang="en-GB" sz="1000">
              <a:solidFill>
                <a:sysClr val="windowText" lastClr="000000"/>
              </a:solidFill>
              <a:latin typeface="Arial" pitchFamily="34" charset="0"/>
              <a:cs typeface="Arial" pitchFamily="34" charset="0"/>
            </a:rPr>
          </a:br>
          <a:endParaRPr lang="en-GB" sz="1000">
            <a:solidFill>
              <a:sysClr val="windowText" lastClr="000000"/>
            </a:solidFill>
            <a:latin typeface="Arial" pitchFamily="34" charset="0"/>
            <a:cs typeface="Arial" pitchFamily="34" charset="0"/>
          </a:endParaRPr>
        </a:p>
        <a:p>
          <a:pPr algn="l">
            <a:lnSpc>
              <a:spcPts val="1000"/>
            </a:lnSpc>
          </a:pPr>
          <a:r>
            <a:rPr lang="en-GB" sz="1000">
              <a:solidFill>
                <a:sysClr val="windowText" lastClr="000000"/>
              </a:solidFill>
              <a:latin typeface="Arial" pitchFamily="34" charset="0"/>
              <a:cs typeface="Arial" pitchFamily="34" charset="0"/>
            </a:rPr>
            <a:t>Note:</a:t>
          </a:r>
          <a:r>
            <a:rPr lang="en-GB" sz="1000" baseline="0">
              <a:solidFill>
                <a:sysClr val="windowText" lastClr="000000"/>
              </a:solidFill>
              <a:latin typeface="Arial" pitchFamily="34" charset="0"/>
              <a:cs typeface="Arial" pitchFamily="34" charset="0"/>
            </a:rPr>
            <a:t> </a:t>
          </a:r>
          <a:r>
            <a:rPr lang="en-GB" sz="1000" u="sng" baseline="0">
              <a:solidFill>
                <a:sysClr val="windowText" lastClr="000000"/>
              </a:solidFill>
              <a:latin typeface="Arial" pitchFamily="34" charset="0"/>
              <a:cs typeface="Arial" pitchFamily="34" charset="0"/>
            </a:rPr>
            <a:t>Phase 2 may be conducted in parallel to phase 1a and 1b  to expedite the process, whilst acknowledging a go-live dependency of approval to access central data being granted</a:t>
          </a:r>
          <a:r>
            <a:rPr lang="en-GB" sz="1000" baseline="0">
              <a:solidFill>
                <a:sysClr val="windowText" lastClr="000000"/>
              </a:solidFill>
              <a:latin typeface="Arial" pitchFamily="34" charset="0"/>
              <a:cs typeface="Arial" pitchFamily="34" charset="0"/>
            </a:rPr>
            <a:t>. </a:t>
          </a:r>
          <a:r>
            <a:rPr lang="en-GB" sz="1000">
              <a:solidFill>
                <a:sysClr val="windowText" lastClr="000000"/>
              </a:solidFill>
              <a:latin typeface="Arial" pitchFamily="34" charset="0"/>
              <a:cs typeface="Arial" pitchFamily="34" charset="0"/>
            </a:rPr>
            <a:t/>
          </a:r>
          <a:br>
            <a:rPr lang="en-GB" sz="1000">
              <a:solidFill>
                <a:sysClr val="windowText" lastClr="000000"/>
              </a:solidFill>
              <a:latin typeface="Arial" pitchFamily="34" charset="0"/>
              <a:cs typeface="Arial" pitchFamily="34" charset="0"/>
            </a:rPr>
          </a:br>
          <a:r>
            <a:rPr lang="en-GB" sz="1000">
              <a:solidFill>
                <a:sysClr val="windowText" lastClr="000000"/>
              </a:solidFill>
              <a:latin typeface="Arial" pitchFamily="34" charset="0"/>
              <a:cs typeface="Arial" pitchFamily="34" charset="0"/>
            </a:rPr>
            <a:t>Before any deployment</a:t>
          </a:r>
          <a:r>
            <a:rPr lang="en-GB" sz="1000" baseline="0">
              <a:solidFill>
                <a:sysClr val="windowText" lastClr="000000"/>
              </a:solidFill>
              <a:latin typeface="Arial" pitchFamily="34" charset="0"/>
              <a:cs typeface="Arial" pitchFamily="34" charset="0"/>
            </a:rPr>
            <a:t> can commence, the Solution Supplier MUST sign the Connection Agreement and the End User MUST sign the End User Policy.</a:t>
          </a:r>
          <a:endParaRPr lang="en-GB" sz="1000">
            <a:solidFill>
              <a:sysClr val="windowText" lastClr="000000"/>
            </a:solidFill>
            <a:latin typeface="Arial" pitchFamily="34" charset="0"/>
            <a:cs typeface="Arial" pitchFamily="34" charset="0"/>
          </a:endParaRPr>
        </a:p>
        <a:p>
          <a:pPr algn="l">
            <a:lnSpc>
              <a:spcPts val="900"/>
            </a:lnSpc>
          </a:pPr>
          <a:endParaRPr lang="en-GB" sz="1000">
            <a:solidFill>
              <a:sysClr val="windowText" lastClr="000000"/>
            </a:solidFill>
            <a:latin typeface="Arial" pitchFamily="34" charset="0"/>
            <a:cs typeface="Arial" pitchFamily="34" charset="0"/>
          </a:endParaRPr>
        </a:p>
        <a:p>
          <a:pPr algn="l">
            <a:lnSpc>
              <a:spcPts val="900"/>
            </a:lnSpc>
          </a:pPr>
          <a:r>
            <a:rPr lang="en-GB" sz="1000" b="1">
              <a:solidFill>
                <a:sysClr val="windowText" lastClr="000000"/>
              </a:solidFill>
              <a:latin typeface="Arial" pitchFamily="34" charset="0"/>
              <a:cs typeface="Arial" pitchFamily="34" charset="0"/>
            </a:rPr>
            <a:t>In the case of further questions or queries please contact: nhserspartners@nhs.net</a:t>
          </a:r>
          <a:r>
            <a:rPr lang="en-GB" sz="1000" b="1">
              <a:solidFill>
                <a:srgbClr val="FF0000"/>
              </a:solidFill>
              <a:latin typeface="Arial" pitchFamily="34" charset="0"/>
              <a:cs typeface="Arial" pitchFamily="34" charset="0"/>
            </a:rPr>
            <a:t/>
          </a:r>
          <a:br>
            <a:rPr lang="en-GB" sz="1000" b="1">
              <a:solidFill>
                <a:srgbClr val="FF0000"/>
              </a:solidFill>
              <a:latin typeface="Arial" pitchFamily="34" charset="0"/>
              <a:cs typeface="Arial" pitchFamily="34" charset="0"/>
            </a:rPr>
          </a:br>
          <a:endParaRPr lang="en-GB" sz="1000" b="1">
            <a:solidFill>
              <a:srgbClr val="FF0000"/>
            </a:solidFill>
            <a:latin typeface="Arial" pitchFamily="34" charset="0"/>
            <a:cs typeface="Arial" pitchFamily="34" charset="0"/>
          </a:endParaRPr>
        </a:p>
      </xdr:txBody>
    </xdr:sp>
    <xdr:clientData/>
  </xdr:twoCellAnchor>
  <xdr:twoCellAnchor>
    <xdr:from>
      <xdr:col>1</xdr:col>
      <xdr:colOff>15870</xdr:colOff>
      <xdr:row>35</xdr:row>
      <xdr:rowOff>104775</xdr:rowOff>
    </xdr:from>
    <xdr:to>
      <xdr:col>2</xdr:col>
      <xdr:colOff>677007</xdr:colOff>
      <xdr:row>38</xdr:row>
      <xdr:rowOff>140763</xdr:rowOff>
    </xdr:to>
    <xdr:sp macro="" textlink="">
      <xdr:nvSpPr>
        <xdr:cNvPr id="12" name="AutoShape 10">
          <a:extLst>
            <a:ext uri="{FF2B5EF4-FFF2-40B4-BE49-F238E27FC236}">
              <a16:creationId xmlns="" xmlns:a16="http://schemas.microsoft.com/office/drawing/2014/main" id="{00000000-0008-0000-0100-00000C000000}"/>
            </a:ext>
          </a:extLst>
        </xdr:cNvPr>
        <xdr:cNvSpPr>
          <a:spLocks noChangeArrowheads="1"/>
        </xdr:cNvSpPr>
      </xdr:nvSpPr>
      <xdr:spPr bwMode="auto">
        <a:xfrm rot="5400000">
          <a:off x="1062782" y="4963363"/>
          <a:ext cx="521763" cy="2005987"/>
        </a:xfrm>
        <a:prstGeom prst="homePlate">
          <a:avLst>
            <a:gd name="adj" fmla="val 25000"/>
          </a:avLst>
        </a:prstGeom>
        <a:solidFill>
          <a:schemeClr val="accent3">
            <a:lumMod val="40000"/>
            <a:lumOff val="60000"/>
          </a:schemeClr>
        </a:solidFill>
        <a:ln w="9525" algn="ctr">
          <a:solidFill>
            <a:srgbClr val="000000"/>
          </a:solidFill>
          <a:miter lim="800000"/>
          <a:headEnd/>
          <a:tailEnd/>
        </a:ln>
        <a:effectLst/>
      </xdr:spPr>
      <xdr:txBody>
        <a:bodyPr vertOverflow="clip" wrap="square" lIns="36576" tIns="27432" rIns="36576" bIns="27432" anchor="ctr" upright="1"/>
        <a:lstStyle/>
        <a:p>
          <a:pPr algn="ctr" rtl="0">
            <a:defRPr sz="1000"/>
          </a:pPr>
          <a:r>
            <a:rPr lang="en-GB" sz="1200" b="1" i="0" u="none" strike="noStrike" baseline="0">
              <a:solidFill>
                <a:srgbClr val="000000"/>
              </a:solidFill>
              <a:latin typeface="Arial"/>
              <a:cs typeface="Arial"/>
            </a:rPr>
            <a:t>3 - </a:t>
          </a:r>
          <a:r>
            <a:rPr lang="en-GB" sz="1200" b="1" i="0" baseline="0">
              <a:effectLst/>
              <a:latin typeface="Arial" panose="020B0604020202020204" pitchFamily="34" charset="0"/>
              <a:ea typeface="+mn-ea"/>
              <a:cs typeface="Arial" panose="020B0604020202020204" pitchFamily="34" charset="0"/>
            </a:rPr>
            <a:t>End User Organisation</a:t>
          </a:r>
          <a:endParaRPr lang="en-GB" sz="1200" b="1"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twoCellAnchor>
    <xdr:from>
      <xdr:col>1</xdr:col>
      <xdr:colOff>22338</xdr:colOff>
      <xdr:row>56</xdr:row>
      <xdr:rowOff>80340</xdr:rowOff>
    </xdr:from>
    <xdr:to>
      <xdr:col>2</xdr:col>
      <xdr:colOff>679267</xdr:colOff>
      <xdr:row>59</xdr:row>
      <xdr:rowOff>129173</xdr:rowOff>
    </xdr:to>
    <xdr:sp macro="" textlink="">
      <xdr:nvSpPr>
        <xdr:cNvPr id="13" name="AutoShape 5">
          <a:extLst>
            <a:ext uri="{FF2B5EF4-FFF2-40B4-BE49-F238E27FC236}">
              <a16:creationId xmlns="" xmlns:a16="http://schemas.microsoft.com/office/drawing/2014/main" id="{00000000-0008-0000-0100-00000D000000}"/>
            </a:ext>
          </a:extLst>
        </xdr:cNvPr>
        <xdr:cNvSpPr>
          <a:spLocks noChangeArrowheads="1"/>
        </xdr:cNvSpPr>
      </xdr:nvSpPr>
      <xdr:spPr bwMode="auto">
        <a:xfrm rot="5400000">
          <a:off x="1059735" y="8348868"/>
          <a:ext cx="536633" cy="2001827"/>
        </a:xfrm>
        <a:prstGeom prst="homePlate">
          <a:avLst>
            <a:gd name="adj" fmla="val 25000"/>
          </a:avLst>
        </a:prstGeom>
        <a:gradFill>
          <a:gsLst>
            <a:gs pos="25000">
              <a:schemeClr val="accent2">
                <a:lumMod val="40000"/>
                <a:lumOff val="60000"/>
              </a:schemeClr>
            </a:gs>
            <a:gs pos="75000">
              <a:schemeClr val="accent3">
                <a:lumMod val="40000"/>
                <a:lumOff val="60000"/>
              </a:schemeClr>
            </a:gs>
          </a:gsLst>
          <a:lin ang="5400000" scaled="0"/>
        </a:gradFill>
        <a:ln w="9525">
          <a:solidFill>
            <a:srgbClr val="000000"/>
          </a:solidFill>
          <a:miter lim="800000"/>
          <a:headEnd/>
          <a:tailEnd/>
        </a:ln>
      </xdr:spPr>
      <xdr:txBody>
        <a:bodyPr vertOverflow="clip" wrap="square" lIns="36576" tIns="27432" rIns="36576" bIns="27432" anchor="ctr" upright="1"/>
        <a:lstStyle/>
        <a:p>
          <a:pPr algn="ctr" rtl="0">
            <a:defRPr sz="1000"/>
          </a:pPr>
          <a:r>
            <a:rPr lang="en-GB" sz="1200" b="1" i="0" u="none" strike="noStrike" baseline="0">
              <a:solidFill>
                <a:srgbClr val="000000"/>
              </a:solidFill>
              <a:latin typeface="Arial"/>
              <a:cs typeface="Arial"/>
            </a:rPr>
            <a:t>8 - Service</a:t>
          </a:r>
          <a:endParaRPr lang="en-GB"/>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12</xdr:row>
      <xdr:rowOff>142874</xdr:rowOff>
    </xdr:from>
    <xdr:to>
      <xdr:col>6</xdr:col>
      <xdr:colOff>9525</xdr:colOff>
      <xdr:row>39</xdr:row>
      <xdr:rowOff>83821</xdr:rowOff>
    </xdr:to>
    <xdr:sp macro="" textlink="">
      <xdr:nvSpPr>
        <xdr:cNvPr id="2" name="Title 1">
          <a:extLst>
            <a:ext uri="{FF2B5EF4-FFF2-40B4-BE49-F238E27FC236}">
              <a16:creationId xmlns="" xmlns:a16="http://schemas.microsoft.com/office/drawing/2014/main" id="{00000000-0008-0000-0200-000002000000}"/>
            </a:ext>
          </a:extLst>
        </xdr:cNvPr>
        <xdr:cNvSpPr>
          <a:spLocks noGrp="1"/>
        </xdr:cNvSpPr>
      </xdr:nvSpPr>
      <xdr:spPr>
        <a:xfrm>
          <a:off x="295275" y="4514849"/>
          <a:ext cx="12125325" cy="4674872"/>
        </a:xfrm>
        <a:prstGeom prst="rect">
          <a:avLst/>
        </a:prstGeom>
        <a:noFill/>
        <a:ln w="19050">
          <a:solidFill>
            <a:schemeClr val="tx1"/>
          </a:solidFill>
        </a:ln>
      </xdr:spPr>
      <xdr:txBody>
        <a:bodyPr vert="horz" wrap="square" lIns="91440" tIns="45720" rIns="91440" bIns="45720" rtlCol="0" anchor="ctr">
          <a:noAutofit/>
        </a:bodyPr>
        <a:lstStyle>
          <a:lvl1pPr algn="ctr" defTabSz="914400" rtl="0" eaLnBrk="1" latinLnBrk="0" hangingPunct="1">
            <a:spcBef>
              <a:spcPct val="0"/>
            </a:spcBef>
            <a:buNone/>
            <a:defRPr sz="4400" kern="1200">
              <a:solidFill>
                <a:schemeClr val="tx1"/>
              </a:solidFill>
              <a:latin typeface="+mj-lt"/>
              <a:ea typeface="+mj-ea"/>
              <a:cs typeface="+mj-cs"/>
            </a:defRPr>
          </a:lvl1pPr>
        </a:lstStyle>
        <a:p>
          <a:pPr marL="171450" lvl="0" indent="-171450" algn="l">
            <a:buFont typeface="Arial" panose="020B0604020202020204" pitchFamily="34" charset="0"/>
            <a:buChar char="•"/>
          </a:pPr>
          <a:r>
            <a:rPr lang="en-GB" sz="1000" kern="1200">
              <a:solidFill>
                <a:schemeClr val="tx1"/>
              </a:solidFill>
              <a:effectLst/>
              <a:latin typeface="Arial" panose="020B0604020202020204" pitchFamily="34" charset="0"/>
              <a:ea typeface="+mj-ea"/>
              <a:cs typeface="Arial" panose="020B0604020202020204" pitchFamily="34" charset="0"/>
            </a:rPr>
            <a:t>Prior to completing the TOM, individuals should familiarise themselves with the supporting notes on the Developer Ecosystem</a:t>
          </a:r>
          <a:r>
            <a:rPr lang="en-GB" sz="1000" kern="1200" baseline="0">
              <a:solidFill>
                <a:schemeClr val="tx1"/>
              </a:solidFill>
              <a:effectLst/>
              <a:latin typeface="Arial" panose="020B0604020202020204" pitchFamily="34" charset="0"/>
              <a:ea typeface="+mj-ea"/>
              <a:cs typeface="Arial" panose="020B0604020202020204" pitchFamily="34" charset="0"/>
            </a:rPr>
            <a:t> </a:t>
          </a:r>
          <a:r>
            <a:rPr lang="en-GB" sz="1000" kern="1200">
              <a:solidFill>
                <a:schemeClr val="tx1"/>
              </a:solidFill>
              <a:effectLst/>
              <a:latin typeface="Arial" panose="020B0604020202020204" pitchFamily="34" charset="0"/>
              <a:ea typeface="+mj-ea"/>
              <a:cs typeface="Arial" panose="020B0604020202020204" pitchFamily="34" charset="0"/>
            </a:rPr>
            <a:t>(NHS Developers</a:t>
          </a:r>
          <a:r>
            <a:rPr lang="en-GB" sz="1000" kern="1200" baseline="0">
              <a:solidFill>
                <a:schemeClr val="tx1"/>
              </a:solidFill>
              <a:effectLst/>
              <a:latin typeface="Arial" panose="020B0604020202020204" pitchFamily="34" charset="0"/>
              <a:ea typeface="+mj-ea"/>
              <a:cs typeface="Arial" panose="020B0604020202020204" pitchFamily="34" charset="0"/>
            </a:rPr>
            <a:t> Network</a:t>
          </a:r>
          <a:r>
            <a:rPr lang="en-GB" sz="1000" kern="1200">
              <a:solidFill>
                <a:schemeClr val="tx1"/>
              </a:solidFill>
              <a:effectLst/>
              <a:latin typeface="Arial" panose="020B0604020202020204" pitchFamily="34" charset="0"/>
              <a:ea typeface="+mj-ea"/>
              <a:cs typeface="Arial" panose="020B0604020202020204" pitchFamily="34" charset="0"/>
            </a:rPr>
            <a:t>) and within the “Introduction” tab of this document. Users should also review the Role and Responsibilities box above to identify which role they will play</a:t>
          </a:r>
          <a:r>
            <a:rPr lang="en-GB" sz="1000" kern="1200" baseline="0">
              <a:solidFill>
                <a:schemeClr val="tx1"/>
              </a:solidFill>
              <a:effectLst/>
              <a:latin typeface="Arial" panose="020B0604020202020204" pitchFamily="34" charset="0"/>
              <a:ea typeface="+mj-ea"/>
              <a:cs typeface="Arial" panose="020B0604020202020204" pitchFamily="34" charset="0"/>
            </a:rPr>
            <a:t> in the completion of the document.</a:t>
          </a:r>
          <a:endParaRPr lang="en-GB" sz="1000" kern="1200">
            <a:solidFill>
              <a:schemeClr val="tx1"/>
            </a:solidFill>
            <a:effectLst/>
            <a:latin typeface="Arial" panose="020B0604020202020204" pitchFamily="34" charset="0"/>
            <a:ea typeface="+mj-ea"/>
            <a:cs typeface="Arial" panose="020B0604020202020204" pitchFamily="34" charset="0"/>
          </a:endParaRPr>
        </a:p>
        <a:p>
          <a:pPr marL="171450" lvl="0" indent="-171450" algn="l">
            <a:buFont typeface="Arial" panose="020B0604020202020204" pitchFamily="34" charset="0"/>
            <a:buChar char="•"/>
          </a:pPr>
          <a:endParaRPr lang="en-GB" sz="1000" kern="1200">
            <a:solidFill>
              <a:schemeClr val="tx1"/>
            </a:solidFill>
            <a:effectLst/>
            <a:latin typeface="Arial" panose="020B0604020202020204" pitchFamily="34" charset="0"/>
            <a:ea typeface="+mj-ea"/>
            <a:cs typeface="Arial" panose="020B0604020202020204" pitchFamily="34" charset="0"/>
          </a:endParaRPr>
        </a:p>
        <a:p>
          <a:pPr marL="171450" lvl="0" indent="-171450" algn="l">
            <a:buFont typeface="Arial" panose="020B0604020202020204" pitchFamily="34" charset="0"/>
            <a:buChar char="•"/>
          </a:pPr>
          <a:r>
            <a:rPr lang="en-GB" sz="1000" strike="noStrike" kern="1200" baseline="0">
              <a:solidFill>
                <a:schemeClr val="tx1"/>
              </a:solidFill>
              <a:effectLst/>
              <a:latin typeface="Arial" panose="020B0604020202020204" pitchFamily="34" charset="0"/>
              <a:ea typeface="+mj-ea"/>
              <a:cs typeface="Arial" panose="020B0604020202020204" pitchFamily="34" charset="0"/>
            </a:rPr>
            <a:t>Users should also determine whether the TOM is being completed to achieve Technical Conformance only or both Technical Conformance and  Service Assurance. Both will be required to be completed should they wish to proceed to deployment in to the live environment.</a:t>
          </a:r>
        </a:p>
        <a:p>
          <a:pPr marL="171450" lvl="0" indent="-171450" algn="l">
            <a:buFont typeface="Arial" panose="020B0604020202020204" pitchFamily="34" charset="0"/>
            <a:buChar char="•"/>
          </a:pPr>
          <a:endParaRPr lang="en-GB" sz="1000" kern="1200">
            <a:solidFill>
              <a:schemeClr val="tx1"/>
            </a:solidFill>
            <a:effectLst/>
            <a:latin typeface="Arial" panose="020B0604020202020204" pitchFamily="34" charset="0"/>
            <a:ea typeface="+mj-ea"/>
            <a:cs typeface="Arial" panose="020B0604020202020204" pitchFamily="34" charset="0"/>
          </a:endParaRPr>
        </a:p>
        <a:p>
          <a:pPr marL="171450" lvl="0" indent="-171450" algn="l">
            <a:buFont typeface="Arial" panose="020B0604020202020204" pitchFamily="34" charset="0"/>
            <a:buChar char="•"/>
          </a:pPr>
          <a:r>
            <a:rPr lang="en-GB" sz="1000" kern="1200">
              <a:solidFill>
                <a:schemeClr val="tx1"/>
              </a:solidFill>
              <a:effectLst/>
              <a:latin typeface="Arial" panose="020B0604020202020204" pitchFamily="34" charset="0"/>
              <a:ea typeface="+mj-ea"/>
              <a:cs typeface="Arial" panose="020B0604020202020204" pitchFamily="34" charset="0"/>
            </a:rPr>
            <a:t>Each tab within the TOM is essentially self-contained and covers a different aspect of the assessment process.</a:t>
          </a:r>
        </a:p>
        <a:p>
          <a:pPr marL="171450" lvl="0" indent="-171450" algn="l">
            <a:buFont typeface="Arial" panose="020B0604020202020204" pitchFamily="34" charset="0"/>
            <a:buChar char="•"/>
          </a:pPr>
          <a:endParaRPr lang="en-GB" sz="1000" kern="1200">
            <a:solidFill>
              <a:schemeClr val="tx1"/>
            </a:solidFill>
            <a:effectLst/>
            <a:latin typeface="Arial" panose="020B0604020202020204" pitchFamily="34" charset="0"/>
            <a:ea typeface="+mj-ea"/>
            <a:cs typeface="Arial" panose="020B0604020202020204" pitchFamily="34" charset="0"/>
          </a:endParaRPr>
        </a:p>
        <a:p>
          <a:pPr marL="171450" lvl="0" indent="-171450" algn="l">
            <a:buFont typeface="Arial" panose="020B0604020202020204" pitchFamily="34" charset="0"/>
            <a:buChar char="•"/>
          </a:pPr>
          <a:r>
            <a:rPr lang="en-GB" sz="1000" kern="1200">
              <a:solidFill>
                <a:schemeClr val="tx1"/>
              </a:solidFill>
              <a:effectLst/>
              <a:latin typeface="Arial" panose="020B0604020202020204" pitchFamily="34" charset="0"/>
              <a:ea typeface="+mj-ea"/>
              <a:cs typeface="Arial" panose="020B0604020202020204" pitchFamily="34" charset="0"/>
            </a:rPr>
            <a:t>Further guidance about the topics can be found within the “Introduction” tab and in the relevant section of the TOM documentation.</a:t>
          </a:r>
        </a:p>
        <a:p>
          <a:pPr marL="171450" lvl="0" indent="-171450" algn="l">
            <a:buFont typeface="Arial" panose="020B0604020202020204" pitchFamily="34" charset="0"/>
            <a:buChar char="•"/>
          </a:pPr>
          <a:endParaRPr lang="en-GB" sz="1000" kern="1200">
            <a:solidFill>
              <a:schemeClr val="tx1"/>
            </a:solidFill>
            <a:effectLst/>
            <a:latin typeface="Arial" panose="020B0604020202020204" pitchFamily="34" charset="0"/>
            <a:ea typeface="+mj-ea"/>
            <a:cs typeface="Arial" panose="020B0604020202020204" pitchFamily="34" charset="0"/>
          </a:endParaRPr>
        </a:p>
        <a:p>
          <a:pPr marL="171450" lvl="0" indent="-171450" algn="l">
            <a:buFont typeface="Arial" panose="020B0604020202020204" pitchFamily="34" charset="0"/>
            <a:buChar char="•"/>
          </a:pPr>
          <a:r>
            <a:rPr lang="en-GB" sz="1000" kern="1200">
              <a:solidFill>
                <a:schemeClr val="tx1"/>
              </a:solidFill>
              <a:effectLst/>
              <a:latin typeface="Arial" panose="020B0604020202020204" pitchFamily="34" charset="0"/>
              <a:ea typeface="+mj-ea"/>
              <a:cs typeface="Arial" panose="020B0604020202020204" pitchFamily="34" charset="0"/>
            </a:rPr>
            <a:t>It is anticipated that the Solution Supplier and End</a:t>
          </a:r>
          <a:r>
            <a:rPr lang="en-GB" sz="1000" kern="1200" baseline="0">
              <a:solidFill>
                <a:schemeClr val="tx1"/>
              </a:solidFill>
              <a:effectLst/>
              <a:latin typeface="Arial" panose="020B0604020202020204" pitchFamily="34" charset="0"/>
              <a:ea typeface="+mj-ea"/>
              <a:cs typeface="Arial" panose="020B0604020202020204" pitchFamily="34" charset="0"/>
            </a:rPr>
            <a:t> User </a:t>
          </a:r>
          <a:r>
            <a:rPr lang="en-GB" sz="1000" kern="1200">
              <a:solidFill>
                <a:schemeClr val="tx1"/>
              </a:solidFill>
              <a:effectLst/>
              <a:latin typeface="Arial" panose="020B0604020202020204" pitchFamily="34" charset="0"/>
              <a:ea typeface="+mj-ea"/>
              <a:cs typeface="Arial" panose="020B0604020202020204" pitchFamily="34" charset="0"/>
            </a:rPr>
            <a:t>Organisation will complete the TOM collaboratively, </a:t>
          </a:r>
          <a:r>
            <a:rPr lang="en-GB" sz="1000" strike="noStrike" kern="1200" baseline="0">
              <a:solidFill>
                <a:schemeClr val="tx1"/>
              </a:solidFill>
              <a:effectLst/>
              <a:latin typeface="Arial" panose="020B0604020202020204" pitchFamily="34" charset="0"/>
              <a:ea typeface="+mj-ea"/>
              <a:cs typeface="Arial" panose="020B0604020202020204" pitchFamily="34" charset="0"/>
            </a:rPr>
            <a:t>unless the Supplier is only applying to achieve Technical Conformance, where they will complete the relevant tabs independently (see the Introduction tab for guidance).</a:t>
          </a:r>
        </a:p>
        <a:p>
          <a:pPr marL="171450" lvl="0" indent="-171450" algn="l">
            <a:buFont typeface="Arial" panose="020B0604020202020204" pitchFamily="34" charset="0"/>
            <a:buChar char="•"/>
          </a:pPr>
          <a:endParaRPr lang="en-GB" sz="1000" kern="1200">
            <a:solidFill>
              <a:schemeClr val="tx1"/>
            </a:solidFill>
            <a:effectLst/>
            <a:latin typeface="Arial" panose="020B0604020202020204" pitchFamily="34" charset="0"/>
            <a:ea typeface="+mj-ea"/>
            <a:cs typeface="Arial" panose="020B0604020202020204" pitchFamily="34" charset="0"/>
          </a:endParaRPr>
        </a:p>
        <a:p>
          <a:pPr marL="171450" lvl="0" indent="-171450" algn="l">
            <a:buFont typeface="Arial" panose="020B0604020202020204" pitchFamily="34" charset="0"/>
            <a:buChar char="•"/>
          </a:pPr>
          <a:r>
            <a:rPr lang="en-GB" sz="1000" kern="1200">
              <a:solidFill>
                <a:schemeClr val="tx1"/>
              </a:solidFill>
              <a:effectLst/>
              <a:latin typeface="Arial" panose="020B0604020202020204" pitchFamily="34" charset="0"/>
              <a:ea typeface="+mj-ea"/>
              <a:cs typeface="Arial" panose="020B0604020202020204" pitchFamily="34" charset="0"/>
            </a:rPr>
            <a:t>A response must be provided for every question.</a:t>
          </a:r>
          <a:r>
            <a:rPr lang="en-GB" sz="1000" kern="1200" baseline="0">
              <a:solidFill>
                <a:schemeClr val="tx1"/>
              </a:solidFill>
              <a:effectLst/>
              <a:latin typeface="Arial" panose="020B0604020202020204" pitchFamily="34" charset="0"/>
              <a:ea typeface="+mj-ea"/>
              <a:cs typeface="Arial" panose="020B0604020202020204" pitchFamily="34" charset="0"/>
            </a:rPr>
            <a:t> Majority of tabs have a list of questions to answer:</a:t>
          </a:r>
        </a:p>
        <a:p>
          <a:pPr marL="171450" lvl="0" indent="-171450" algn="l">
            <a:buFont typeface="Courier New" panose="02070309020205020404" pitchFamily="49" charset="0"/>
            <a:buChar char="o"/>
          </a:pPr>
          <a:r>
            <a:rPr lang="en-GB" sz="1000" kern="1200" baseline="0">
              <a:solidFill>
                <a:schemeClr val="tx1"/>
              </a:solidFill>
              <a:effectLst/>
              <a:latin typeface="Arial" panose="020B0604020202020204" pitchFamily="34" charset="0"/>
              <a:ea typeface="+mj-ea"/>
              <a:cs typeface="Arial" panose="020B0604020202020204" pitchFamily="34" charset="0"/>
            </a:rPr>
            <a:t>Questions with a category of "Info" capture important information but do not actually affect the outcome of the assessment</a:t>
          </a:r>
          <a:r>
            <a:rPr lang="en-GB" sz="1000" kern="1200">
              <a:solidFill>
                <a:schemeClr val="tx1"/>
              </a:solidFill>
              <a:effectLst/>
              <a:latin typeface="Arial" panose="020B0604020202020204" pitchFamily="34" charset="0"/>
              <a:ea typeface="+mj-ea"/>
              <a:cs typeface="Arial" panose="020B0604020202020204" pitchFamily="34" charset="0"/>
            </a:rPr>
            <a:t>	 </a:t>
          </a:r>
        </a:p>
        <a:p>
          <a:pPr marL="171450" lvl="0" indent="-171450" algn="l">
            <a:buFont typeface="Courier New" panose="02070309020205020404" pitchFamily="49" charset="0"/>
            <a:buChar char="o"/>
          </a:pPr>
          <a:r>
            <a:rPr lang="en-GB" sz="1000" kern="1200">
              <a:solidFill>
                <a:schemeClr val="tx1"/>
              </a:solidFill>
              <a:effectLst/>
              <a:latin typeface="Arial" panose="020B0604020202020204" pitchFamily="34" charset="0"/>
              <a:ea typeface="+mj-ea"/>
              <a:cs typeface="Arial" panose="020B0604020202020204" pitchFamily="34" charset="0"/>
            </a:rPr>
            <a:t>Questions with a type of "Action" directly affect the outcome of the assessment, and may lead to further actions being required</a:t>
          </a:r>
        </a:p>
        <a:p>
          <a:pPr marL="171450" lvl="0" indent="-171450" algn="l">
            <a:buFont typeface="Courier New" panose="02070309020205020404" pitchFamily="49" charset="0"/>
            <a:buChar char="o"/>
          </a:pPr>
          <a:r>
            <a:rPr lang="en-GB" sz="1000" kern="1200">
              <a:solidFill>
                <a:schemeClr val="tx1"/>
              </a:solidFill>
              <a:effectLst/>
              <a:latin typeface="Arial" panose="020B0604020202020204" pitchFamily="34" charset="0"/>
              <a:ea typeface="+mj-ea"/>
              <a:cs typeface="Arial" panose="020B0604020202020204" pitchFamily="34" charset="0"/>
            </a:rPr>
            <a:t>Questions with a type of "Req" directly affect the outcome of the assessment, and may lead to further actions being required</a:t>
          </a:r>
        </a:p>
        <a:p>
          <a:pPr marL="171450" lvl="0" indent="-171450" algn="l">
            <a:buFont typeface="Arial" panose="020B0604020202020204" pitchFamily="34" charset="0"/>
            <a:buChar char="•"/>
          </a:pPr>
          <a:endParaRPr lang="en-GB" sz="1000" kern="1200">
            <a:solidFill>
              <a:schemeClr val="tx1"/>
            </a:solidFill>
            <a:effectLst/>
            <a:latin typeface="Arial" panose="020B0604020202020204" pitchFamily="34" charset="0"/>
            <a:ea typeface="+mj-ea"/>
            <a:cs typeface="Arial" panose="020B0604020202020204" pitchFamily="34" charset="0"/>
          </a:endParaRPr>
        </a:p>
        <a:p>
          <a:pPr marL="171450" lvl="0" indent="-171450" algn="l">
            <a:buFont typeface="Arial" panose="020B0604020202020204" pitchFamily="34" charset="0"/>
            <a:buChar char="•"/>
          </a:pPr>
          <a:r>
            <a:rPr lang="en-GB" sz="1000" kern="1200">
              <a:solidFill>
                <a:schemeClr val="tx1"/>
              </a:solidFill>
              <a:effectLst/>
              <a:latin typeface="Arial" panose="020B0604020202020204" pitchFamily="34" charset="0"/>
              <a:ea typeface="+mj-ea"/>
              <a:cs typeface="Arial" panose="020B0604020202020204" pitchFamily="34" charset="0"/>
            </a:rPr>
            <a:t>Cells within each tab have been colour coded to indicate whether a response is to be provided by a Solution</a:t>
          </a:r>
          <a:r>
            <a:rPr lang="en-GB" sz="1000" kern="1200" baseline="0">
              <a:solidFill>
                <a:schemeClr val="tx1"/>
              </a:solidFill>
              <a:effectLst/>
              <a:latin typeface="Arial" panose="020B0604020202020204" pitchFamily="34" charset="0"/>
              <a:ea typeface="+mj-ea"/>
              <a:cs typeface="Arial" panose="020B0604020202020204" pitchFamily="34" charset="0"/>
            </a:rPr>
            <a:t> </a:t>
          </a:r>
          <a:r>
            <a:rPr lang="en-GB" sz="1000" kern="1200">
              <a:solidFill>
                <a:schemeClr val="tx1"/>
              </a:solidFill>
              <a:effectLst/>
              <a:latin typeface="Arial" panose="020B0604020202020204" pitchFamily="34" charset="0"/>
              <a:ea typeface="+mj-ea"/>
              <a:cs typeface="Arial" panose="020B0604020202020204" pitchFamily="34" charset="0"/>
            </a:rPr>
            <a:t>Supplier (Red Cells), </a:t>
          </a:r>
          <a:r>
            <a:rPr lang="en-GB" sz="1000" kern="1200" baseline="0">
              <a:solidFill>
                <a:schemeClr val="tx1"/>
              </a:solidFill>
              <a:effectLst/>
              <a:latin typeface="Arial" panose="020B0604020202020204" pitchFamily="34" charset="0"/>
              <a:ea typeface="+mj-ea"/>
              <a:cs typeface="Arial" panose="020B0604020202020204" pitchFamily="34" charset="0"/>
            </a:rPr>
            <a:t> End User </a:t>
          </a:r>
          <a:r>
            <a:rPr lang="en-GB" sz="1000" kern="1200">
              <a:solidFill>
                <a:schemeClr val="tx1"/>
              </a:solidFill>
              <a:effectLst/>
              <a:latin typeface="Arial" panose="020B0604020202020204" pitchFamily="34" charset="0"/>
              <a:ea typeface="+mj-ea"/>
              <a:cs typeface="Arial" panose="020B0604020202020204" pitchFamily="34" charset="0"/>
            </a:rPr>
            <a:t>Organisation (Green Cells) or NHS Digital (Blue Cells).</a:t>
          </a:r>
        </a:p>
        <a:p>
          <a:pPr marL="171450" lvl="0" indent="-171450" algn="l">
            <a:buFont typeface="Arial" panose="020B0604020202020204" pitchFamily="34" charset="0"/>
            <a:buChar char="•"/>
          </a:pPr>
          <a:endParaRPr lang="en-GB" sz="1000" kern="1200">
            <a:solidFill>
              <a:schemeClr val="tx1"/>
            </a:solidFill>
            <a:effectLst/>
            <a:latin typeface="Arial" panose="020B0604020202020204" pitchFamily="34" charset="0"/>
            <a:ea typeface="+mj-ea"/>
            <a:cs typeface="Arial" panose="020B0604020202020204" pitchFamily="34" charset="0"/>
          </a:endParaRPr>
        </a:p>
        <a:p>
          <a:pPr marL="171450" lvl="0" indent="-171450" algn="l">
            <a:buFont typeface="Arial" panose="020B0604020202020204" pitchFamily="34" charset="0"/>
            <a:buChar char="•"/>
          </a:pPr>
          <a:r>
            <a:rPr lang="en-GB" sz="1000" kern="1200">
              <a:solidFill>
                <a:schemeClr val="tx1"/>
              </a:solidFill>
              <a:effectLst/>
              <a:latin typeface="Arial" panose="020B0604020202020204" pitchFamily="34" charset="0"/>
              <a:ea typeface="+mj-ea"/>
              <a:cs typeface="Arial" panose="020B0604020202020204" pitchFamily="34" charset="0"/>
            </a:rPr>
            <a:t>At the bottom of tabs 6 and 7 are two headings giving the results:</a:t>
          </a:r>
        </a:p>
        <a:p>
          <a:pPr marL="171450" lvl="0" indent="-171450" algn="l">
            <a:buFont typeface="Courier New" panose="02070309020205020404" pitchFamily="49" charset="0"/>
            <a:buChar char="o"/>
          </a:pPr>
          <a:r>
            <a:rPr lang="en-GB" sz="1000" kern="1200">
              <a:solidFill>
                <a:schemeClr val="tx1"/>
              </a:solidFill>
              <a:effectLst/>
              <a:latin typeface="Arial" panose="020B0604020202020204" pitchFamily="34" charset="0"/>
              <a:ea typeface="+mj-ea"/>
              <a:cs typeface="Arial" panose="020B0604020202020204" pitchFamily="34" charset="0"/>
            </a:rPr>
            <a:t>"Additional Information Required" highlights any further documentation that needs to be collated based on answers to the questions.</a:t>
          </a:r>
        </a:p>
        <a:p>
          <a:pPr marL="171450" lvl="0" indent="-171450" algn="l">
            <a:buFont typeface="Courier New" panose="02070309020205020404" pitchFamily="49" charset="0"/>
            <a:buChar char="o"/>
          </a:pPr>
          <a:r>
            <a:rPr lang="en-GB" sz="1000" kern="1200">
              <a:solidFill>
                <a:schemeClr val="tx1"/>
              </a:solidFill>
              <a:effectLst/>
              <a:latin typeface="Arial" panose="020B0604020202020204" pitchFamily="34" charset="0"/>
              <a:ea typeface="+mj-ea"/>
              <a:cs typeface="Arial" panose="020B0604020202020204" pitchFamily="34" charset="0"/>
            </a:rPr>
            <a:t>"Additional Stakeholder Involvement" highlights additional stakeholders who need to be involved (e.g. signoffs), based on the answers to the questions.</a:t>
          </a:r>
        </a:p>
        <a:p>
          <a:pPr marL="171450" marR="0" lvl="0" indent="-171450" algn="l" defTabSz="914400" eaLnBrk="1" fontAlgn="auto" latinLnBrk="0" hangingPunct="1">
            <a:lnSpc>
              <a:spcPct val="100000"/>
            </a:lnSpc>
            <a:spcBef>
              <a:spcPts val="0"/>
            </a:spcBef>
            <a:spcAft>
              <a:spcPts val="0"/>
            </a:spcAft>
            <a:buClrTx/>
            <a:buSzTx/>
            <a:buFont typeface="Courier New" panose="02070309020205020404" pitchFamily="49" charset="0"/>
            <a:buChar char="o"/>
            <a:tabLst/>
            <a:defRPr/>
          </a:pPr>
          <a:endParaRPr kumimoji="0" lang="en-GB" sz="1000" b="0" i="0" u="none" strike="noStrike" kern="120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endParaRPr>
        </a:p>
        <a:p>
          <a:pPr marL="171450" marR="0" lvl="0" indent="-171450" algn="l"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000" b="0" i="0" u="none" strike="noStrike" kern="120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The completed TOM must be submitted to </a:t>
          </a:r>
          <a:r>
            <a:rPr kumimoji="0" lang="en-GB" sz="1000" b="0" i="0" u="none" strike="noStrike" kern="120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nhserspartners@nhs.net</a:t>
          </a:r>
          <a:r>
            <a:rPr kumimoji="0" lang="en-GB" sz="1000" b="0" i="0" u="none" strike="noStrike" kern="120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 it must clearly state within the body of the email whether the TOM is to be checked against Technical Conformance deliverables only or both Technical Conformance and Service Assurance.</a:t>
          </a:r>
        </a:p>
        <a:p>
          <a:pPr marL="171450" marR="0" lvl="0" indent="-171450" algn="l"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kumimoji="0" lang="en-GB" sz="1000" b="0" i="0" u="none" strike="noStrike" kern="120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endParaRPr>
        </a:p>
        <a:p>
          <a:pPr marL="171450" marR="0" lvl="0" indent="-171450" algn="l"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000" b="0" i="0" u="none" strike="noStrike" kern="120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Deployment of the Client in to the live environment is not permitted until NHS Digital verifies that both Technical Conformance and Service Assurance activities have been completed.</a:t>
          </a:r>
        </a:p>
        <a:p>
          <a:pPr marL="171450" marR="0" lvl="0" indent="-171450" algn="l"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kumimoji="0" lang="en-GB" sz="1000" b="0" i="0" u="none" strike="noStrike" kern="120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endParaRPr>
        </a:p>
        <a:p>
          <a:pPr marL="171450" marR="0" lvl="0" indent="-171450" algn="l"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GB" sz="1000" b="0" i="0" u="none" strike="noStrike" kern="120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A list of potential responses are provided in the final 'Lists' worksheet to identiy permissible responses through the TOM.</a:t>
          </a:r>
          <a:endParaRPr lang="en-GB" sz="1000" kern="1200">
            <a:solidFill>
              <a:schemeClr val="tx1"/>
            </a:solidFill>
            <a:effectLst/>
            <a:latin typeface="Arial" panose="020B0604020202020204" pitchFamily="34" charset="0"/>
            <a:ea typeface="+mj-ea"/>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11</xdr:row>
      <xdr:rowOff>53340</xdr:rowOff>
    </xdr:from>
    <xdr:to>
      <xdr:col>7</xdr:col>
      <xdr:colOff>1554480</xdr:colOff>
      <xdr:row>24</xdr:row>
      <xdr:rowOff>30480</xdr:rowOff>
    </xdr:to>
    <xdr:pic>
      <xdr:nvPicPr>
        <xdr:cNvPr id="70491" name="Picture 1">
          <a:extLst>
            <a:ext uri="{FF2B5EF4-FFF2-40B4-BE49-F238E27FC236}">
              <a16:creationId xmlns="" xmlns:a16="http://schemas.microsoft.com/office/drawing/2014/main" id="{00000000-0008-0000-0700-00005B1301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03120"/>
          <a:ext cx="7002780" cy="205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114300</xdr:colOff>
      <xdr:row>11</xdr:row>
      <xdr:rowOff>30480</xdr:rowOff>
    </xdr:from>
    <xdr:to>
      <xdr:col>23</xdr:col>
      <xdr:colOff>152400</xdr:colOff>
      <xdr:row>24</xdr:row>
      <xdr:rowOff>0</xdr:rowOff>
    </xdr:to>
    <xdr:pic>
      <xdr:nvPicPr>
        <xdr:cNvPr id="70492" name="Picture 21">
          <a:extLst>
            <a:ext uri="{FF2B5EF4-FFF2-40B4-BE49-F238E27FC236}">
              <a16:creationId xmlns="" xmlns:a16="http://schemas.microsoft.com/office/drawing/2014/main" id="{00000000-0008-0000-0700-00005C1301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56320" y="2080260"/>
          <a:ext cx="7109460" cy="2049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1661160</xdr:colOff>
          <xdr:row>17</xdr:row>
          <xdr:rowOff>670560</xdr:rowOff>
        </xdr:from>
        <xdr:to>
          <xdr:col>3</xdr:col>
          <xdr:colOff>2575560</xdr:colOff>
          <xdr:row>17</xdr:row>
          <xdr:rowOff>1356360</xdr:rowOff>
        </xdr:to>
        <xdr:sp macro="" textlink="">
          <xdr:nvSpPr>
            <xdr:cNvPr id="76803" name="Object 3" hidden="1">
              <a:extLst>
                <a:ext uri="{63B3BB69-23CF-44E3-9099-C40C66FF867C}">
                  <a14:compatExt spid="_x0000_s76803"/>
                </a:ext>
              </a:extLst>
            </xdr:cNvPr>
            <xdr:cNvSpPr/>
          </xdr:nvSpPr>
          <xdr:spPr>
            <a:xfrm>
              <a:off x="0" y="0"/>
              <a:ext cx="0" cy="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amo4\AppData\Local\Microsoft\Windows\Temporary%20Internet%20Files\Content.Outlook\1ZAWISZU\TEMPLATE%20Target%20Operating%20Model%20-%20Spine%20Mini%20Service%20com%20v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amo4\AppData\Local\Microsoft\Windows\Temporary%20Internet%20Files\Content.Outlook\1ZAWISZU\TEMPLATE%20Target%20Operating%20Model%20-%20Spine%20Mini%20Service%20%20v1.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HSCIC\eRS\Futures\APIs\API%20-%20Supplier%20Reqs\Target%20Operating%20Model%20-%20e-RS%20APIs%20-%20Self-Evaluation%20Checklist%20Master%20v0.1%20Z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mama8\AppData\Local\Microsoft\Windows\Temporary%20Internet%20Files\Content.Outlook\W7D12PYP\PDS%20SMSP%20Access%20ORG%20TEMPLATE%20DRAFT%20v3%2020170407.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ata1lds\users\Users\mama8\AppData\Local\Microsoft\Windows\Temporary%20Internet%20Files\Content.Outlook\W7D12PYP\PDS%20SMSP%20Access%20ORG%20TEMPLATE%20DRAFT%20v3%2020170407.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hscic365-my.sharepoint.com/Users/rapy1/AppData/Local/Microsoft/Windows/INetCache/Content.Outlook/TIX5XCDO/file:/sagat/data/Assurance%20Service/ITK/NICA%20Accreditation/Requirements%20Spreadsheets/Supplier%20Certified%20Requirements%20Coverage%20v6.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rapy1\AppData\Local\Microsoft\Windows\INetCache\Content.Outlook\TIX5XCDO\file:\sagat\data\Assurance%20Service\ITK\NICA%20Accreditation\Requirements%20Spreadsheets\Supplier%20Certified%20Requirements%20Coverage%20v6.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agat\data\Assurance%20Service\ITK\NICA%20Accreditation\Requirements%20Spreadsheets\Supplier%20Certified%20Requirements%20Coverage%20v6.3.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My%20Documents\Open_From_030517\E-RS%20Compliance\InHealth\CAB_Compliance_Matrix-InHealth_v2.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HSCIC\eRS\Futures\APIs\API%20-%20Supplier%20Reqs\CAB_Compliance_Matrix-InHealth_v2.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agat\data\Assurance%20Service\ITK\NICA%20Accreditation\ITK%20Spine%20Mini%20Services\orQuestra\SPI_Spine_Mini_Services_Compliance_Matrix.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ata1lds\users\Users\reda1\AppData\Local\Microsoft\Windows\Temporary%20Internet%20Files\Content.Outlook\VQOIWL4R\Site%20Readiness%20Checklist%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Introduction"/>
      <sheetName val="User Guide"/>
      <sheetName val="Approval Gateways"/>
      <sheetName val="1-Contact Log"/>
      <sheetName val="2a - Client Supplier"/>
      <sheetName val="2b - Provider Supplier"/>
      <sheetName val="3 - End User Organisation "/>
      <sheetName val="4 - Topology"/>
      <sheetName val="5 - Accountability"/>
      <sheetName val="6 - Architecture"/>
      <sheetName val="7 - IG and Security"/>
      <sheetName val="8 - Clinical Safety "/>
      <sheetName val="9- Service "/>
      <sheetName val="10a - SMS Generic Client Reqs"/>
      <sheetName val="10b - SMS PDS Client Reqs"/>
      <sheetName val="10c - SMS CP-IS Client Reqs"/>
      <sheetName val="10d - SMS SCR Client Reqs"/>
      <sheetName val="10e - SMS V&amp;M Client Reqs"/>
      <sheetName val="10f - SMS FGM Client Reqs"/>
      <sheetName val="NHS Digital Assessement"/>
      <sheetName val="Li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14">
          <cell r="B14" t="str">
            <v>Acute Trust</v>
          </cell>
        </row>
        <row r="15">
          <cell r="B15" t="str">
            <v>Ambulance Trust</v>
          </cell>
        </row>
        <row r="16">
          <cell r="B16" t="str">
            <v>Any Qualified Provider - Clinical Services</v>
          </cell>
        </row>
        <row r="17">
          <cell r="B17" t="str">
            <v>Any Qualified Provider - Non Clinical Services</v>
          </cell>
        </row>
        <row r="18">
          <cell r="B18" t="str">
            <v>Clinical Commissioning Group</v>
          </cell>
        </row>
        <row r="19">
          <cell r="B19" t="str">
            <v>Commercial Third Party</v>
          </cell>
        </row>
        <row r="20">
          <cell r="B20" t="str">
            <v>Commissioning Support Unit</v>
          </cell>
        </row>
        <row r="21">
          <cell r="B21" t="str">
            <v>Community Health Provider</v>
          </cell>
        </row>
        <row r="22">
          <cell r="B22" t="str">
            <v>Community Pharmacy/DAC</v>
          </cell>
        </row>
        <row r="23">
          <cell r="B23" t="str">
            <v>Data Service for Commissioners</v>
          </cell>
        </row>
        <row r="24">
          <cell r="B24" t="str">
            <v>Dental Practice</v>
          </cell>
        </row>
        <row r="25">
          <cell r="B25" t="str">
            <v>Eye Care Service</v>
          </cell>
        </row>
        <row r="26">
          <cell r="B26" t="str">
            <v>General Practice</v>
          </cell>
        </row>
        <row r="27">
          <cell r="B27" t="str">
            <v>Hosted Secondary Use Team/Project</v>
          </cell>
        </row>
        <row r="28">
          <cell r="B28" t="str">
            <v>Local Authority</v>
          </cell>
        </row>
        <row r="29">
          <cell r="B29" t="str">
            <v>Mental Health Trust</v>
          </cell>
        </row>
        <row r="30">
          <cell r="B30" t="str">
            <v>NHS Business Partner/ITC/ALB</v>
          </cell>
        </row>
        <row r="31">
          <cell r="B31" t="str">
            <v>NHS Business Services Authority</v>
          </cell>
        </row>
        <row r="32">
          <cell r="B32" t="str">
            <v>NHS Digital</v>
          </cell>
        </row>
        <row r="33">
          <cell r="B33" t="str">
            <v>NHS England</v>
          </cell>
        </row>
        <row r="34">
          <cell r="B34" t="str">
            <v>Prison Health</v>
          </cell>
        </row>
        <row r="35">
          <cell r="B35" t="str">
            <v>Public Health England</v>
          </cell>
        </row>
        <row r="36">
          <cell r="B36" t="str">
            <v>Secondary Use Organisation</v>
          </cell>
        </row>
        <row r="37">
          <cell r="B37" t="str">
            <v>Voluntary Sector Organisation</v>
          </cell>
        </row>
        <row r="53">
          <cell r="B53" t="str">
            <v>NYK</v>
          </cell>
        </row>
        <row r="54">
          <cell r="B54" t="str">
            <v>NHS</v>
          </cell>
        </row>
        <row r="55">
          <cell r="B55" t="str">
            <v>Non-NHS</v>
          </cell>
        </row>
        <row r="56">
          <cell r="B56" t="str">
            <v>Mixed</v>
          </cell>
        </row>
        <row r="66">
          <cell r="B66" t="str">
            <v>NYK</v>
          </cell>
        </row>
        <row r="67">
          <cell r="B67" t="str">
            <v>Spine Full</v>
          </cell>
        </row>
        <row r="68">
          <cell r="B68" t="str">
            <v>Soine Partial</v>
          </cell>
        </row>
        <row r="69">
          <cell r="B69" t="str">
            <v>SMSP</v>
          </cell>
        </row>
        <row r="70">
          <cell r="B70" t="str">
            <v>SCRa</v>
          </cell>
        </row>
        <row r="71">
          <cell r="B71" t="str">
            <v>DBS</v>
          </cell>
        </row>
        <row r="72">
          <cell r="B72" t="str">
            <v>DBS BS</v>
          </cell>
        </row>
        <row r="73">
          <cell r="B73" t="str">
            <v>N/A</v>
          </cell>
        </row>
        <row r="76">
          <cell r="B76" t="str">
            <v>NYK</v>
          </cell>
        </row>
        <row r="77">
          <cell r="B77" t="str">
            <v>Not Complete</v>
          </cell>
        </row>
        <row r="78">
          <cell r="B78" t="str">
            <v xml:space="preserve">Not Satisfactory
</v>
          </cell>
        </row>
        <row r="79">
          <cell r="B79" t="str">
            <v xml:space="preserve">Improvement
</v>
          </cell>
        </row>
        <row r="80">
          <cell r="B80" t="str">
            <v>Satisfactory</v>
          </cell>
        </row>
        <row r="83">
          <cell r="B83" t="str">
            <v>Not Complete</v>
          </cell>
        </row>
        <row r="84">
          <cell r="B84" t="str">
            <v xml:space="preserve">Not Satisfactory
</v>
          </cell>
        </row>
        <row r="85">
          <cell r="B85" t="str">
            <v xml:space="preserve">Improvement
</v>
          </cell>
        </row>
        <row r="86">
          <cell r="B86" t="str">
            <v>Satisfactory</v>
          </cell>
        </row>
        <row r="89">
          <cell r="B89" t="str">
            <v>England / Wales</v>
          </cell>
        </row>
        <row r="90">
          <cell r="B90" t="str">
            <v>UK</v>
          </cell>
        </row>
        <row r="91">
          <cell r="B91" t="str">
            <v>EEA</v>
          </cell>
        </row>
        <row r="92">
          <cell r="B92" t="str">
            <v>Other</v>
          </cell>
        </row>
        <row r="109">
          <cell r="B109" t="str">
            <v>Approved</v>
          </cell>
        </row>
        <row r="110">
          <cell r="B110" t="str">
            <v>Rejected</v>
          </cell>
        </row>
        <row r="113">
          <cell r="B113" t="str">
            <v>The usage and settings statement has been fully approved - no further usage and settings assessment required</v>
          </cell>
        </row>
        <row r="114">
          <cell r="B114" t="str">
            <v>The usage and settings statement has been approved  - a DSFC and DSA must be sought</v>
          </cell>
        </row>
        <row r="115">
          <cell r="B115" t="str">
            <v>The usage and settings statement has been approved  - DSA must be sought</v>
          </cell>
        </row>
        <row r="116">
          <cell r="B116" t="str">
            <v>The usage and settings statement has been provisionally approved  - full approval will be sought through the IGARD process</v>
          </cell>
        </row>
        <row r="117">
          <cell r="B117" t="str">
            <v xml:space="preserve">The usage and settings statement has been rejected  </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Introduction"/>
      <sheetName val="User Guide"/>
      <sheetName val="Approval Gateways"/>
      <sheetName val="1-Contact Log"/>
      <sheetName val="2 - Client Supplier "/>
      <sheetName val="3 - End User Organisation "/>
      <sheetName val="4 - Topology"/>
      <sheetName val="5 - Architecture"/>
      <sheetName val="6 - IG and Security"/>
      <sheetName val="7 - Clinical Safety "/>
      <sheetName val="8 - Service "/>
      <sheetName val="9a - SMS Generic Client Reqs"/>
      <sheetName val="9b - SMS PDS Client Reqs"/>
      <sheetName val="NHS Digital Assessement"/>
      <sheetName val="Lis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53">
          <cell r="B53" t="str">
            <v>NYK</v>
          </cell>
        </row>
        <row r="54">
          <cell r="B54" t="str">
            <v>NHS</v>
          </cell>
        </row>
        <row r="55">
          <cell r="B55" t="str">
            <v>Non-NHS</v>
          </cell>
        </row>
        <row r="56">
          <cell r="B56" t="str">
            <v>Mixed</v>
          </cell>
        </row>
        <row r="66">
          <cell r="B66" t="str">
            <v>NYK</v>
          </cell>
        </row>
        <row r="67">
          <cell r="B67" t="str">
            <v>Spine Full</v>
          </cell>
        </row>
        <row r="68">
          <cell r="B68" t="str">
            <v>Soine Partial</v>
          </cell>
        </row>
        <row r="69">
          <cell r="B69" t="str">
            <v>SMSP</v>
          </cell>
        </row>
        <row r="70">
          <cell r="B70" t="str">
            <v>SCRa</v>
          </cell>
        </row>
        <row r="71">
          <cell r="B71" t="str">
            <v>DBS</v>
          </cell>
        </row>
        <row r="72">
          <cell r="B72" t="str">
            <v>DBS BS</v>
          </cell>
        </row>
        <row r="73">
          <cell r="B73" t="str">
            <v>N/A</v>
          </cell>
        </row>
        <row r="76">
          <cell r="B76" t="str">
            <v>NYK</v>
          </cell>
        </row>
        <row r="77">
          <cell r="B77" t="str">
            <v>Not Complete</v>
          </cell>
        </row>
        <row r="78">
          <cell r="B78" t="str">
            <v xml:space="preserve">Not Satisfactory
</v>
          </cell>
        </row>
        <row r="79">
          <cell r="B79" t="str">
            <v xml:space="preserve">Improvement
</v>
          </cell>
        </row>
        <row r="80">
          <cell r="B80" t="str">
            <v>Satisfactory</v>
          </cell>
        </row>
        <row r="89">
          <cell r="B89" t="str">
            <v>England / Wales</v>
          </cell>
        </row>
        <row r="90">
          <cell r="B90" t="str">
            <v>UK</v>
          </cell>
        </row>
        <row r="91">
          <cell r="B91" t="str">
            <v>EEA</v>
          </cell>
        </row>
        <row r="92">
          <cell r="B92" t="str">
            <v>Other</v>
          </cell>
        </row>
        <row r="109">
          <cell r="B109" t="str">
            <v>Approved</v>
          </cell>
        </row>
        <row r="110">
          <cell r="B110" t="str">
            <v>Rejected</v>
          </cell>
        </row>
        <row r="113">
          <cell r="B113" t="str">
            <v>The usage and settings statement has been fully approved - no further usage and settings assessment required</v>
          </cell>
        </row>
        <row r="114">
          <cell r="B114" t="str">
            <v>The usage and settings statement has been approved  - a DSFC and DSA must be sought</v>
          </cell>
        </row>
        <row r="115">
          <cell r="B115" t="str">
            <v>The usage and settings statement has been approved  - DSA must be sought</v>
          </cell>
        </row>
        <row r="116">
          <cell r="B116" t="str">
            <v>The usage and settings statement has been provisionally approved  - full approval will be sought through the IGARD process</v>
          </cell>
        </row>
        <row r="117">
          <cell r="B117" t="str">
            <v xml:space="preserve">The usage and settings statement has been rejected  </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Introduction"/>
      <sheetName val="User Guide"/>
      <sheetName val="Approval Gateways"/>
      <sheetName val="1-Contact Log"/>
      <sheetName val="2 - Supplier Information "/>
      <sheetName val="3 - End User Organisation "/>
      <sheetName val="4 - Topology"/>
      <sheetName val="5 - Architecture"/>
      <sheetName val="6 - IG and Security"/>
      <sheetName val="7 - Clinical Safety "/>
      <sheetName val="8 - Service "/>
      <sheetName val="9 - Overarching Reqmts "/>
      <sheetName val="9.1 - Session API Reqmts"/>
      <sheetName val="9.2 Ref Data API Reqmts"/>
      <sheetName val="9.3 CRI API Reqmts"/>
      <sheetName val="10 - Testcases"/>
      <sheetName val="NHS Digital Assessement"/>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ow r="12">
          <cell r="B12" t="str">
            <v>NYA</v>
          </cell>
        </row>
        <row r="13">
          <cell r="B13" t="str">
            <v>ALB</v>
          </cell>
        </row>
        <row r="14">
          <cell r="B14" t="str">
            <v>CCG</v>
          </cell>
        </row>
        <row r="15">
          <cell r="B15" t="str">
            <v>CIC</v>
          </cell>
        </row>
        <row r="16">
          <cell r="B16" t="str">
            <v>CSU</v>
          </cell>
        </row>
        <row r="17">
          <cell r="B17" t="str">
            <v>Govt</v>
          </cell>
        </row>
        <row r="18">
          <cell r="B18" t="str">
            <v>GP</v>
          </cell>
        </row>
        <row r="19">
          <cell r="B19" t="str">
            <v>ISHP</v>
          </cell>
        </row>
        <row r="20">
          <cell r="B20" t="str">
            <v>LA</v>
          </cell>
        </row>
        <row r="21">
          <cell r="B21" t="str">
            <v>NHS Digital</v>
          </cell>
        </row>
        <row r="22">
          <cell r="B22" t="str">
            <v>Service</v>
          </cell>
        </row>
        <row r="23">
          <cell r="B23" t="str">
            <v>Third Sector</v>
          </cell>
        </row>
        <row r="24">
          <cell r="B24" t="str">
            <v>Trust</v>
          </cell>
        </row>
        <row r="39">
          <cell r="B39" t="str">
            <v>NYK</v>
          </cell>
        </row>
        <row r="40">
          <cell r="B40" t="str">
            <v>NHS</v>
          </cell>
        </row>
        <row r="41">
          <cell r="B41" t="str">
            <v>Non-NHS</v>
          </cell>
        </row>
        <row r="42">
          <cell r="B42" t="str">
            <v>Mixed</v>
          </cell>
        </row>
        <row r="52">
          <cell r="B52" t="str">
            <v>NYK</v>
          </cell>
        </row>
        <row r="53">
          <cell r="B53" t="str">
            <v>Spine Full</v>
          </cell>
        </row>
        <row r="54">
          <cell r="B54" t="str">
            <v>Spine Partial</v>
          </cell>
        </row>
        <row r="55">
          <cell r="B55" t="str">
            <v>SMSP</v>
          </cell>
        </row>
        <row r="56">
          <cell r="B56" t="str">
            <v>SCRa</v>
          </cell>
        </row>
        <row r="57">
          <cell r="B57" t="str">
            <v>DBS</v>
          </cell>
        </row>
        <row r="58">
          <cell r="B58" t="str">
            <v>DBS BS</v>
          </cell>
        </row>
        <row r="59">
          <cell r="B59" t="str">
            <v>N/A</v>
          </cell>
        </row>
        <row r="62">
          <cell r="B62" t="str">
            <v>NYK</v>
          </cell>
        </row>
        <row r="63">
          <cell r="B63" t="str">
            <v>Not Complete</v>
          </cell>
        </row>
        <row r="64">
          <cell r="B64" t="str">
            <v xml:space="preserve">Not Satisfactory
</v>
          </cell>
        </row>
        <row r="65">
          <cell r="B65" t="str">
            <v xml:space="preserve">Improvement
</v>
          </cell>
        </row>
        <row r="66">
          <cell r="B66" t="str">
            <v>Satisfactory</v>
          </cell>
        </row>
        <row r="69">
          <cell r="B69" t="str">
            <v>Not Complete</v>
          </cell>
        </row>
        <row r="70">
          <cell r="B70" t="str">
            <v xml:space="preserve">Not Satisfactory
</v>
          </cell>
        </row>
        <row r="71">
          <cell r="B71" t="str">
            <v xml:space="preserve">Improvement
</v>
          </cell>
        </row>
        <row r="72">
          <cell r="B72" t="str">
            <v>Satisfactory</v>
          </cell>
        </row>
        <row r="75">
          <cell r="B75" t="str">
            <v>England / Wales</v>
          </cell>
        </row>
        <row r="76">
          <cell r="B76" t="str">
            <v>UK</v>
          </cell>
        </row>
        <row r="77">
          <cell r="B77" t="str">
            <v>EEA</v>
          </cell>
        </row>
        <row r="78">
          <cell r="B78" t="str">
            <v>Other</v>
          </cell>
        </row>
        <row r="95">
          <cell r="B95" t="str">
            <v>Approved</v>
          </cell>
        </row>
        <row r="96">
          <cell r="B96" t="str">
            <v>Rejected</v>
          </cell>
        </row>
        <row r="99">
          <cell r="B99" t="str">
            <v>The usage and settings statement has been fully approved - no further usage and settings assessment required</v>
          </cell>
        </row>
        <row r="100">
          <cell r="B100" t="str">
            <v>The usage and settings statement has been approved  - a DSFC and DSA must be sought</v>
          </cell>
        </row>
        <row r="101">
          <cell r="B101" t="str">
            <v>The usage and settings statement has been approved  - DSA must be sought</v>
          </cell>
        </row>
        <row r="102">
          <cell r="B102" t="str">
            <v>The usage and settings statement has been provisionally approved  - full approval will be sought through the IGARD process</v>
          </cell>
        </row>
        <row r="103">
          <cell r="B103" t="str">
            <v xml:space="preserve">The usage and settings statement has been rejected  </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Details"/>
      <sheetName val="Assessment"/>
      <sheetName val="Lists"/>
    </sheetNames>
    <sheetDataSet>
      <sheetData sheetId="0">
        <row r="7">
          <cell r="F7" t="str">
            <v>NYA</v>
          </cell>
        </row>
      </sheetData>
      <sheetData sheetId="1"/>
      <sheetData sheetId="2">
        <row r="12">
          <cell r="B12" t="str">
            <v>NYA</v>
          </cell>
        </row>
        <row r="13">
          <cell r="B13" t="str">
            <v>ALB</v>
          </cell>
        </row>
        <row r="14">
          <cell r="B14" t="str">
            <v>CCG</v>
          </cell>
        </row>
        <row r="15">
          <cell r="B15" t="str">
            <v>CIC</v>
          </cell>
        </row>
        <row r="16">
          <cell r="B16" t="str">
            <v>CSU</v>
          </cell>
        </row>
        <row r="17">
          <cell r="B17" t="str">
            <v>Govt</v>
          </cell>
        </row>
        <row r="18">
          <cell r="B18" t="str">
            <v>GP</v>
          </cell>
        </row>
        <row r="19">
          <cell r="B19" t="str">
            <v>ISHP</v>
          </cell>
        </row>
        <row r="20">
          <cell r="B20" t="str">
            <v>LA</v>
          </cell>
        </row>
        <row r="21">
          <cell r="B21" t="str">
            <v>NHS Digital</v>
          </cell>
        </row>
        <row r="22">
          <cell r="B22" t="str">
            <v>Service</v>
          </cell>
        </row>
        <row r="23">
          <cell r="B23" t="str">
            <v>Third Sector</v>
          </cell>
        </row>
        <row r="24">
          <cell r="B24" t="str">
            <v>Trust</v>
          </cell>
        </row>
        <row r="39">
          <cell r="B39" t="str">
            <v>NYK</v>
          </cell>
        </row>
        <row r="40">
          <cell r="B40" t="str">
            <v>NHS</v>
          </cell>
        </row>
        <row r="41">
          <cell r="B41" t="str">
            <v>Non-NHS</v>
          </cell>
        </row>
        <row r="42">
          <cell r="B42" t="str">
            <v>Mixed</v>
          </cell>
        </row>
        <row r="52">
          <cell r="B52" t="str">
            <v>NYK</v>
          </cell>
        </row>
        <row r="53">
          <cell r="B53" t="str">
            <v>Spine Full</v>
          </cell>
        </row>
        <row r="54">
          <cell r="B54" t="str">
            <v>Soine Partial</v>
          </cell>
        </row>
        <row r="55">
          <cell r="B55" t="str">
            <v>SMSP</v>
          </cell>
        </row>
        <row r="56">
          <cell r="B56" t="str">
            <v>SCRa</v>
          </cell>
        </row>
        <row r="57">
          <cell r="B57" t="str">
            <v>DBS</v>
          </cell>
        </row>
        <row r="58">
          <cell r="B58" t="str">
            <v>DBS BS</v>
          </cell>
        </row>
        <row r="59">
          <cell r="B59" t="str">
            <v>N/A</v>
          </cell>
        </row>
        <row r="62">
          <cell r="B62" t="str">
            <v>NYK</v>
          </cell>
        </row>
        <row r="63">
          <cell r="B63" t="str">
            <v>Not Complete</v>
          </cell>
        </row>
        <row r="64">
          <cell r="B64" t="str">
            <v xml:space="preserve">Not Satisfactory
</v>
          </cell>
        </row>
        <row r="65">
          <cell r="B65" t="str">
            <v xml:space="preserve">Improvement
</v>
          </cell>
        </row>
        <row r="66">
          <cell r="B66" t="str">
            <v>Satisfactory</v>
          </cell>
        </row>
        <row r="69">
          <cell r="B69" t="str">
            <v>Not Complete</v>
          </cell>
        </row>
        <row r="70">
          <cell r="B70" t="str">
            <v xml:space="preserve">Not Satisfactory
</v>
          </cell>
        </row>
        <row r="71">
          <cell r="B71" t="str">
            <v xml:space="preserve">Improvement
</v>
          </cell>
        </row>
        <row r="72">
          <cell r="B72" t="str">
            <v>Satisfactory</v>
          </cell>
        </row>
        <row r="75">
          <cell r="B75" t="str">
            <v>England</v>
          </cell>
        </row>
        <row r="76">
          <cell r="B76" t="str">
            <v>Wales</v>
          </cell>
        </row>
        <row r="77">
          <cell r="B77" t="str">
            <v>UK</v>
          </cell>
        </row>
        <row r="78">
          <cell r="B78" t="str">
            <v>EEA</v>
          </cell>
        </row>
        <row r="79">
          <cell r="B79" t="str">
            <v>Other</v>
          </cell>
        </row>
        <row r="82">
          <cell r="B82" t="str">
            <v>NYA</v>
          </cell>
        </row>
        <row r="83">
          <cell r="B83" t="str">
            <v>OK</v>
          </cell>
        </row>
        <row r="84">
          <cell r="B84" t="str">
            <v>Not OK</v>
          </cell>
        </row>
        <row r="85">
          <cell r="B85" t="str">
            <v>Queries</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Details"/>
      <sheetName val="Assessment"/>
      <sheetName val="Lists"/>
    </sheetNames>
    <sheetDataSet>
      <sheetData sheetId="0"/>
      <sheetData sheetId="1"/>
      <sheetData sheetId="2">
        <row r="82">
          <cell r="B82" t="str">
            <v>NYA</v>
          </cell>
        </row>
        <row r="83">
          <cell r="B83" t="str">
            <v>OK</v>
          </cell>
        </row>
        <row r="84">
          <cell r="B84" t="str">
            <v>Not OK</v>
          </cell>
        </row>
        <row r="85">
          <cell r="B85" t="str">
            <v>Queries</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Instructions for Use"/>
      <sheetName val="RIA"/>
      <sheetName val="Requirements Summary"/>
      <sheetName val="Requirements Explained"/>
      <sheetName val="Testcases Index"/>
      <sheetName val="Testcases Detailed"/>
      <sheetName val="Lists"/>
    </sheetNames>
    <sheetDataSet>
      <sheetData sheetId="0"/>
      <sheetData sheetId="1"/>
      <sheetData sheetId="2"/>
      <sheetData sheetId="3"/>
      <sheetData sheetId="4"/>
      <sheetData sheetId="5"/>
      <sheetData sheetId="6"/>
      <sheetData sheetId="7">
        <row r="3">
          <cell r="A3" t="str">
            <v>ITK Middleware</v>
          </cell>
          <cell r="E3" t="str">
            <v>Patient Identity Management v1.0</v>
          </cell>
          <cell r="G3" t="str">
            <v>Defect fixes only</v>
          </cell>
          <cell r="I3" t="str">
            <v>Yes</v>
          </cell>
          <cell r="K3" t="str">
            <v>Version: 1.0; Status: RC1</v>
          </cell>
          <cell r="M3">
            <v>3.7</v>
          </cell>
        </row>
        <row r="4">
          <cell r="A4" t="str">
            <v>ITK Client Application</v>
          </cell>
          <cell r="E4" t="str">
            <v>Patient Identity Management Update Master v1.0</v>
          </cell>
          <cell r="G4" t="str">
            <v>New functionality</v>
          </cell>
          <cell r="I4" t="str">
            <v>No</v>
          </cell>
          <cell r="K4" t="str">
            <v>Version: 1.0; Status: RC2</v>
          </cell>
        </row>
        <row r="5">
          <cell r="A5" t="str">
            <v>ITK Host Application</v>
          </cell>
          <cell r="E5" t="str">
            <v>Patient Encounter Management v1.0</v>
          </cell>
          <cell r="G5" t="str">
            <v>Defect fix and New funtionality</v>
          </cell>
          <cell r="K5" t="str">
            <v>Version: 1.0; Status: RC4</v>
          </cell>
        </row>
        <row r="6">
          <cell r="A6" t="str">
            <v>ITK Host &amp; Client Application</v>
          </cell>
          <cell r="E6" t="str">
            <v>Patient Encounter Management Update Master v1.0</v>
          </cell>
          <cell r="K6" t="str">
            <v>Version: 2.0; Status: RC1</v>
          </cell>
        </row>
        <row r="7">
          <cell r="A7" t="str">
            <v>ITK Spine Mini Services Provider</v>
          </cell>
          <cell r="E7" t="str">
            <v>In/Outpatient Encounter Management v1.0</v>
          </cell>
          <cell r="K7" t="str">
            <v>Version: 2.0; Status: RC2</v>
          </cell>
        </row>
        <row r="8">
          <cell r="E8" t="str">
            <v>In/Outpatient Encounter Management Update Master v1.0</v>
          </cell>
          <cell r="K8" t="str">
            <v>Version: 4.0; Status: Draft A</v>
          </cell>
        </row>
        <row r="9">
          <cell r="E9" t="str">
            <v>Advanced Encounter Management v1.0</v>
          </cell>
          <cell r="K9" t="str">
            <v>Version: 4.0; Status: RC2</v>
          </cell>
        </row>
        <row r="10">
          <cell r="E10" t="str">
            <v>Pending Encounter Management v1.0</v>
          </cell>
        </row>
        <row r="11">
          <cell r="E11" t="str">
            <v>Query Patient v1.0</v>
          </cell>
        </row>
        <row r="12">
          <cell r="E12" t="str">
            <v>Correspondence - Basic Document Transmission v1.0</v>
          </cell>
        </row>
        <row r="13">
          <cell r="E13" t="str">
            <v>Correspondence - Non Coded CDA v1.0</v>
          </cell>
        </row>
        <row r="14">
          <cell r="E14" t="str">
            <v>Correspondence - Ambulance v1.0</v>
          </cell>
        </row>
        <row r="15">
          <cell r="E15" t="str">
            <v>Correspondence - Discharge v1.0</v>
          </cell>
        </row>
        <row r="16">
          <cell r="E16" t="str">
            <v>Correspondence - Emergency Department v1.0</v>
          </cell>
        </row>
        <row r="17">
          <cell r="E17" t="str">
            <v>Correspondence - Out of Hours v1.0</v>
          </cell>
        </row>
        <row r="18">
          <cell r="E18" t="str">
            <v>Correspondence - Outpatient v1.0</v>
          </cell>
        </row>
        <row r="19">
          <cell r="E19" t="str">
            <v>PDS Services v1.0</v>
          </cell>
        </row>
        <row r="20">
          <cell r="E20" t="str">
            <v>Urgent Care v1.0 - Out of Hours / Walk In Centre F v1.0</v>
          </cell>
        </row>
        <row r="21">
          <cell r="E21" t="str">
            <v>Urgent Care v1.0 - A&amp;E Feed v1.0</v>
          </cell>
        </row>
        <row r="22">
          <cell r="E22" t="str">
            <v>HSCI - Care &amp; Support Planning Assessments v1.0</v>
          </cell>
        </row>
        <row r="23">
          <cell r="E23" t="str">
            <v>HSCI - Discharge Notifications to Social Care v1.0</v>
          </cell>
        </row>
        <row r="24">
          <cell r="E24" t="str">
            <v>HSCI - NHS Continuing Healthcare v1.0</v>
          </cell>
        </row>
        <row r="25">
          <cell r="E25" t="str">
            <v>Telehealth v1.0</v>
          </cell>
        </row>
        <row r="26">
          <cell r="E26" t="str">
            <v>Child Screening v1.0</v>
          </cell>
        </row>
        <row r="27">
          <cell r="E27" t="str">
            <v>NHS 111 v1.0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Instructions for Use"/>
      <sheetName val="RIA"/>
      <sheetName val="Requirements Summary"/>
      <sheetName val="Requirements Explained"/>
      <sheetName val="Testcases Index"/>
      <sheetName val="Testcases Detailed"/>
      <sheetName val="Lists"/>
    </sheetNames>
    <sheetDataSet>
      <sheetData sheetId="0"/>
      <sheetData sheetId="1"/>
      <sheetData sheetId="2"/>
      <sheetData sheetId="3"/>
      <sheetData sheetId="4"/>
      <sheetData sheetId="5"/>
      <sheetData sheetId="6"/>
      <sheetData sheetId="7">
        <row r="3">
          <cell r="A3" t="str">
            <v>ITK Middleware</v>
          </cell>
          <cell r="E3" t="str">
            <v>Patient Identity Management v1.0</v>
          </cell>
          <cell r="G3" t="str">
            <v>Defect fixes only</v>
          </cell>
          <cell r="I3" t="str">
            <v>Yes</v>
          </cell>
          <cell r="K3" t="str">
            <v>Version: 1.0; Status: RC1</v>
          </cell>
          <cell r="M3">
            <v>3.7</v>
          </cell>
        </row>
        <row r="4">
          <cell r="A4" t="str">
            <v>ITK Client Application</v>
          </cell>
          <cell r="E4" t="str">
            <v>Patient Identity Management Update Master v1.0</v>
          </cell>
          <cell r="G4" t="str">
            <v>New functionality</v>
          </cell>
          <cell r="I4" t="str">
            <v>No</v>
          </cell>
          <cell r="K4" t="str">
            <v>Version: 1.0; Status: RC2</v>
          </cell>
        </row>
        <row r="5">
          <cell r="A5" t="str">
            <v>ITK Host Application</v>
          </cell>
          <cell r="E5" t="str">
            <v>Patient Encounter Management v1.0</v>
          </cell>
          <cell r="G5" t="str">
            <v>Defect fix and New funtionality</v>
          </cell>
          <cell r="K5" t="str">
            <v>Version: 1.0; Status: RC4</v>
          </cell>
        </row>
        <row r="6">
          <cell r="A6" t="str">
            <v>ITK Host &amp; Client Application</v>
          </cell>
          <cell r="E6" t="str">
            <v>Patient Encounter Management Update Master v1.0</v>
          </cell>
          <cell r="K6" t="str">
            <v>Version: 2.0; Status: RC1</v>
          </cell>
        </row>
        <row r="7">
          <cell r="A7" t="str">
            <v>ITK Spine Mini Services Provider</v>
          </cell>
          <cell r="E7" t="str">
            <v>In/Outpatient Encounter Management v1.0</v>
          </cell>
          <cell r="K7" t="str">
            <v>Version: 2.0; Status: RC2</v>
          </cell>
        </row>
        <row r="8">
          <cell r="E8" t="str">
            <v>In/Outpatient Encounter Management Update Master v1.0</v>
          </cell>
          <cell r="K8" t="str">
            <v>Version: 4.0; Status: Draft A</v>
          </cell>
        </row>
        <row r="9">
          <cell r="E9" t="str">
            <v>Advanced Encounter Management v1.0</v>
          </cell>
          <cell r="K9" t="str">
            <v>Version: 4.0; Status: RC2</v>
          </cell>
        </row>
        <row r="10">
          <cell r="E10" t="str">
            <v>Pending Encounter Management v1.0</v>
          </cell>
        </row>
        <row r="11">
          <cell r="E11" t="str">
            <v>Query Patient v1.0</v>
          </cell>
        </row>
        <row r="12">
          <cell r="E12" t="str">
            <v>Correspondence - Basic Document Transmission v1.0</v>
          </cell>
        </row>
        <row r="13">
          <cell r="E13" t="str">
            <v>Correspondence - Non Coded CDA v1.0</v>
          </cell>
        </row>
        <row r="14">
          <cell r="E14" t="str">
            <v>Correspondence - Ambulance v1.0</v>
          </cell>
        </row>
        <row r="15">
          <cell r="E15" t="str">
            <v>Correspondence - Discharge v1.0</v>
          </cell>
        </row>
        <row r="16">
          <cell r="E16" t="str">
            <v>Correspondence - Emergency Department v1.0</v>
          </cell>
        </row>
        <row r="17">
          <cell r="E17" t="str">
            <v>Correspondence - Out of Hours v1.0</v>
          </cell>
        </row>
        <row r="18">
          <cell r="E18" t="str">
            <v>Correspondence - Outpatient v1.0</v>
          </cell>
        </row>
        <row r="19">
          <cell r="E19" t="str">
            <v>PDS Services v1.0</v>
          </cell>
        </row>
        <row r="20">
          <cell r="E20" t="str">
            <v>Urgent Care v1.0 - Out of Hours / Walk In Centre F v1.0</v>
          </cell>
        </row>
        <row r="21">
          <cell r="E21" t="str">
            <v>Urgent Care v1.0 - A&amp;E Feed v1.0</v>
          </cell>
        </row>
        <row r="22">
          <cell r="E22" t="str">
            <v>HSCI - Care &amp; Support Planning Assessments v1.0</v>
          </cell>
        </row>
        <row r="23">
          <cell r="E23" t="str">
            <v>HSCI - Discharge Notifications to Social Care v1.0</v>
          </cell>
        </row>
        <row r="24">
          <cell r="E24" t="str">
            <v>HSCI - NHS Continuing Healthcare v1.0</v>
          </cell>
        </row>
        <row r="25">
          <cell r="E25" t="str">
            <v>Telehealth v1.0</v>
          </cell>
        </row>
        <row r="26">
          <cell r="E26" t="str">
            <v>Child Screening v1.0</v>
          </cell>
        </row>
        <row r="27">
          <cell r="E27" t="str">
            <v>NHS 111 v1.0</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Instructions for Use"/>
      <sheetName val="RIA"/>
      <sheetName val="Requirements Summary"/>
      <sheetName val="Requirements Explained"/>
      <sheetName val="Testcases Index"/>
      <sheetName val="Testcases Detailed"/>
      <sheetName val="Lists"/>
    </sheetNames>
    <sheetDataSet>
      <sheetData sheetId="0"/>
      <sheetData sheetId="1"/>
      <sheetData sheetId="2"/>
      <sheetData sheetId="3"/>
      <sheetData sheetId="4"/>
      <sheetData sheetId="5"/>
      <sheetData sheetId="6"/>
      <sheetData sheetId="7">
        <row r="3">
          <cell r="A3" t="str">
            <v>ITK Middleware</v>
          </cell>
          <cell r="E3" t="str">
            <v>Patient Identity Management v1.0</v>
          </cell>
          <cell r="G3" t="str">
            <v>Defect fixes only</v>
          </cell>
          <cell r="I3" t="str">
            <v>Yes</v>
          </cell>
          <cell r="K3" t="str">
            <v>Version: 1.0; Status: RC1</v>
          </cell>
          <cell r="M3">
            <v>3.7</v>
          </cell>
        </row>
        <row r="4">
          <cell r="A4" t="str">
            <v>ITK Client Application</v>
          </cell>
          <cell r="E4" t="str">
            <v>Patient Identity Management Update Master v1.0</v>
          </cell>
          <cell r="G4" t="str">
            <v>New functionality</v>
          </cell>
          <cell r="I4" t="str">
            <v>No</v>
          </cell>
          <cell r="K4" t="str">
            <v>Version: 1.0; Status: RC2</v>
          </cell>
        </row>
        <row r="5">
          <cell r="A5" t="str">
            <v>ITK Host Application</v>
          </cell>
          <cell r="E5" t="str">
            <v>Patient Encounter Management v1.0</v>
          </cell>
          <cell r="G5" t="str">
            <v>Defect fix and New funtionality</v>
          </cell>
          <cell r="K5" t="str">
            <v>Version: 1.0; Status: RC4</v>
          </cell>
        </row>
        <row r="6">
          <cell r="A6" t="str">
            <v>ITK Host &amp; Client Application</v>
          </cell>
          <cell r="E6" t="str">
            <v>Patient Encounter Management Update Master v1.0</v>
          </cell>
          <cell r="K6" t="str">
            <v>Version: 2.0; Status: RC1</v>
          </cell>
        </row>
        <row r="7">
          <cell r="A7" t="str">
            <v>ITK Spine Mini Services Provider</v>
          </cell>
          <cell r="E7" t="str">
            <v>In/Outpatient Encounter Management v1.0</v>
          </cell>
          <cell r="K7" t="str">
            <v>Version: 2.0; Status: RC2</v>
          </cell>
        </row>
        <row r="8">
          <cell r="E8" t="str">
            <v>In/Outpatient Encounter Management Update Master v1.0</v>
          </cell>
          <cell r="K8" t="str">
            <v>Version: 4.0; Status: Draft A</v>
          </cell>
        </row>
        <row r="9">
          <cell r="E9" t="str">
            <v>Advanced Encounter Management v1.0</v>
          </cell>
          <cell r="K9" t="str">
            <v>Version: 4.0; Status: RC2</v>
          </cell>
        </row>
        <row r="10">
          <cell r="E10" t="str">
            <v>Pending Encounter Management v1.0</v>
          </cell>
        </row>
        <row r="11">
          <cell r="E11" t="str">
            <v>Query Patient v1.0</v>
          </cell>
        </row>
        <row r="12">
          <cell r="E12" t="str">
            <v>Correspondence - Basic Document Transmission v1.0</v>
          </cell>
        </row>
        <row r="13">
          <cell r="E13" t="str">
            <v>Correspondence - Non Coded CDA v1.0</v>
          </cell>
        </row>
        <row r="14">
          <cell r="E14" t="str">
            <v>Correspondence - Ambulance v1.0</v>
          </cell>
        </row>
        <row r="15">
          <cell r="E15" t="str">
            <v>Correspondence - Discharge v1.0</v>
          </cell>
        </row>
        <row r="16">
          <cell r="E16" t="str">
            <v>Correspondence - Emergency Department v1.0</v>
          </cell>
        </row>
        <row r="17">
          <cell r="E17" t="str">
            <v>Correspondence - Out of Hours v1.0</v>
          </cell>
        </row>
        <row r="18">
          <cell r="E18" t="str">
            <v>Correspondence - Outpatient v1.0</v>
          </cell>
        </row>
        <row r="19">
          <cell r="E19" t="str">
            <v>PDS Services v1.0</v>
          </cell>
        </row>
        <row r="20">
          <cell r="E20" t="str">
            <v>Urgent Care v1.0 - Out of Hours / Walk In Centre F v1.0</v>
          </cell>
        </row>
        <row r="21">
          <cell r="E21" t="str">
            <v>Urgent Care v1.0 - A&amp;E Feed v1.0</v>
          </cell>
        </row>
        <row r="22">
          <cell r="E22" t="str">
            <v>HSCI - Care &amp; Support Planning Assessments v1.0</v>
          </cell>
        </row>
        <row r="23">
          <cell r="E23" t="str">
            <v>HSCI - Discharge Notifications to Social Care v1.0</v>
          </cell>
        </row>
        <row r="24">
          <cell r="E24" t="str">
            <v>HSCI - NHS Continuing Healthcare v1.0</v>
          </cell>
        </row>
        <row r="25">
          <cell r="E25" t="str">
            <v>Telehealth v1.0</v>
          </cell>
        </row>
        <row r="26">
          <cell r="E26" t="str">
            <v>Child Screening v1.0</v>
          </cell>
        </row>
        <row r="27">
          <cell r="E27" t="str">
            <v>NHS 111 v1.0</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ToComplete"/>
      <sheetName val="CAB v3 Compliance Reqts."/>
      <sheetName val="Data"/>
    </sheetNames>
    <sheetDataSet>
      <sheetData sheetId="0" refreshError="1"/>
      <sheetData sheetId="1" refreshError="1"/>
      <sheetData sheetId="2" refreshError="1"/>
      <sheetData sheetId="3">
        <row r="3">
          <cell r="A3" t="str">
            <v>Compliant</v>
          </cell>
        </row>
        <row r="4">
          <cell r="A4" t="str">
            <v>Semi-Compliant</v>
          </cell>
        </row>
        <row r="5">
          <cell r="A5" t="str">
            <v>Non-Compliant</v>
          </cell>
        </row>
        <row r="6">
          <cell r="A6" t="str">
            <v>N/A</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ToComplete"/>
      <sheetName val="CAB v3 Compliance Reqts."/>
      <sheetName val="Data"/>
    </sheetNames>
    <sheetDataSet>
      <sheetData sheetId="0"/>
      <sheetData sheetId="1"/>
      <sheetData sheetId="2"/>
      <sheetData sheetId="3">
        <row r="3">
          <cell r="A3" t="str">
            <v>Compliant</v>
          </cell>
        </row>
        <row r="4">
          <cell r="A4" t="str">
            <v>Semi-Compliant</v>
          </cell>
        </row>
        <row r="5">
          <cell r="A5" t="str">
            <v>Non-Compliant</v>
          </cell>
        </row>
        <row r="6">
          <cell r="A6" t="str">
            <v>N/A</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ToComplete"/>
      <sheetName val="Data"/>
      <sheetName val="SMSP Compliance Reqts."/>
      <sheetName val="ITK Web Services Infra"/>
      <sheetName val="ITK Application Reqs"/>
    </sheetNames>
    <sheetDataSet>
      <sheetData sheetId="0" refreshError="1"/>
      <sheetData sheetId="1" refreshError="1"/>
      <sheetData sheetId="2">
        <row r="4">
          <cell r="B4" t="str">
            <v>CAB Referrer v1</v>
          </cell>
        </row>
        <row r="5">
          <cell r="B5" t="str">
            <v>CAB Referrer v2.x</v>
          </cell>
        </row>
        <row r="6">
          <cell r="B6" t="str">
            <v>CAB Referrer v3</v>
          </cell>
        </row>
        <row r="7">
          <cell r="B7" t="str">
            <v>CAB Provider v1</v>
          </cell>
        </row>
        <row r="8">
          <cell r="B8" t="str">
            <v>CAB Provider v2.x</v>
          </cell>
        </row>
        <row r="9">
          <cell r="B9" t="str">
            <v>CAB Provider v3</v>
          </cell>
        </row>
        <row r="10">
          <cell r="B10" t="str">
            <v>Child Health Systems v1</v>
          </cell>
        </row>
        <row r="11">
          <cell r="B11" t="str">
            <v>EPS Prescriber v1</v>
          </cell>
        </row>
        <row r="12">
          <cell r="B12" t="str">
            <v>EPS Prescriber v2</v>
          </cell>
        </row>
        <row r="13">
          <cell r="B13" t="str">
            <v>EPS Dispenser v1</v>
          </cell>
        </row>
        <row r="14">
          <cell r="B14" t="str">
            <v>EPS Dispenser v2</v>
          </cell>
        </row>
        <row r="15">
          <cell r="B15" t="str">
            <v>GP Summary v1</v>
          </cell>
        </row>
        <row r="16">
          <cell r="B16" t="str">
            <v>GP2GP v1.1</v>
          </cell>
        </row>
        <row r="17">
          <cell r="B17" t="str">
            <v>GP2GP v2</v>
          </cell>
        </row>
        <row r="18">
          <cell r="B18" t="str">
            <v>GP Systems v1</v>
          </cell>
        </row>
        <row r="19">
          <cell r="B19" t="str">
            <v>Maternity Systems v1</v>
          </cell>
        </row>
        <row r="20">
          <cell r="B20" t="str">
            <v>PACS v1 Level 1</v>
          </cell>
        </row>
        <row r="21">
          <cell r="B21" t="str">
            <v>PACS v1 Level 2</v>
          </cell>
        </row>
        <row r="22">
          <cell r="B22" t="str">
            <v>PSIS Consumer v1</v>
          </cell>
        </row>
        <row r="23">
          <cell r="B23" t="str">
            <v>RIS v1 Level 1</v>
          </cell>
        </row>
        <row r="24">
          <cell r="B24" t="str">
            <v>RIS v1 Level 2</v>
          </cell>
        </row>
        <row r="25">
          <cell r="B25" t="str">
            <v>SCI v1</v>
          </cell>
        </row>
      </sheetData>
      <sheetData sheetId="3" refreshError="1"/>
      <sheetData sheetId="4" refreshError="1"/>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ument Header"/>
      <sheetName val="Approvals"/>
      <sheetName val=" Site Readiness (Manor)Julie"/>
      <sheetName val=" SRC Template"/>
      <sheetName val="Constants"/>
    </sheetNames>
    <sheetDataSet>
      <sheetData sheetId="0"/>
      <sheetData sheetId="1"/>
      <sheetData sheetId="2"/>
      <sheetData sheetId="3"/>
      <sheetData sheetId="4">
        <row r="1">
          <cell r="A1" t="str">
            <v>Pending</v>
          </cell>
          <cell r="C1" t="str">
            <v>Yes</v>
          </cell>
        </row>
        <row r="2">
          <cell r="A2" t="str">
            <v>In Progress</v>
          </cell>
          <cell r="C2" t="str">
            <v>De-Scoped</v>
          </cell>
        </row>
        <row r="3">
          <cell r="A3" t="str">
            <v>Complete</v>
          </cell>
        </row>
        <row r="4">
          <cell r="A4" t="str">
            <v>De Scoped</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14.bin"/><Relationship Id="rId5" Type="http://schemas.openxmlformats.org/officeDocument/2006/relationships/image" Target="../media/image3.emf"/><Relationship Id="rId4" Type="http://schemas.openxmlformats.org/officeDocument/2006/relationships/package" Target="../embeddings/Microsoft_Excel_Worksheet1.xlsx"/></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1"/>
  <sheetViews>
    <sheetView tabSelected="1" zoomScale="80" zoomScaleNormal="80" workbookViewId="0"/>
  </sheetViews>
  <sheetFormatPr defaultColWidth="9.109375" defaultRowHeight="13.8" x14ac:dyDescent="0.25"/>
  <cols>
    <col min="1" max="1" width="9.109375" style="214"/>
    <col min="2" max="2" width="38.33203125" style="216" customWidth="1"/>
    <col min="3" max="3" width="79.44140625" style="216" customWidth="1"/>
    <col min="4" max="5" width="38.33203125" style="216" customWidth="1"/>
    <col min="6" max="8" width="9.109375" style="214"/>
    <col min="9" max="16384" width="9.109375" style="216"/>
  </cols>
  <sheetData>
    <row r="1" spans="2:5" s="214" customFormat="1" ht="14.4" thickBot="1" x14ac:dyDescent="0.3"/>
    <row r="2" spans="2:5" ht="51" customHeight="1" x14ac:dyDescent="0.25">
      <c r="B2" s="215" t="s">
        <v>85</v>
      </c>
      <c r="C2" s="450" t="s">
        <v>536</v>
      </c>
      <c r="D2" s="451"/>
      <c r="E2" s="452"/>
    </row>
    <row r="3" spans="2:5" x14ac:dyDescent="0.25">
      <c r="B3" s="217" t="s">
        <v>86</v>
      </c>
      <c r="C3" s="453" t="s">
        <v>933</v>
      </c>
      <c r="D3" s="454"/>
      <c r="E3" s="455"/>
    </row>
    <row r="4" spans="2:5" x14ac:dyDescent="0.25">
      <c r="B4" s="217" t="s">
        <v>595</v>
      </c>
      <c r="C4" s="456" t="s">
        <v>1092</v>
      </c>
      <c r="D4" s="457"/>
      <c r="E4" s="458"/>
    </row>
    <row r="5" spans="2:5" ht="47.25" customHeight="1" x14ac:dyDescent="0.25">
      <c r="B5" s="218" t="s">
        <v>609</v>
      </c>
      <c r="C5" s="453"/>
      <c r="D5" s="459"/>
      <c r="E5" s="460"/>
    </row>
    <row r="6" spans="2:5" x14ac:dyDescent="0.25">
      <c r="B6" s="217" t="s">
        <v>4</v>
      </c>
      <c r="C6" s="463">
        <v>43175</v>
      </c>
      <c r="D6" s="457"/>
      <c r="E6" s="458"/>
    </row>
    <row r="7" spans="2:5" x14ac:dyDescent="0.25">
      <c r="B7" s="217" t="s">
        <v>87</v>
      </c>
      <c r="C7" s="464">
        <v>1.2</v>
      </c>
      <c r="D7" s="457"/>
      <c r="E7" s="458"/>
    </row>
    <row r="8" spans="2:5" x14ac:dyDescent="0.25">
      <c r="B8" s="217" t="s">
        <v>88</v>
      </c>
      <c r="C8" s="464" t="s">
        <v>472</v>
      </c>
      <c r="D8" s="457"/>
      <c r="E8" s="458"/>
    </row>
    <row r="9" spans="2:5" ht="14.4" thickBot="1" x14ac:dyDescent="0.3">
      <c r="B9" s="219" t="s">
        <v>934</v>
      </c>
      <c r="C9" s="465" t="s">
        <v>926</v>
      </c>
      <c r="D9" s="466"/>
      <c r="E9" s="467"/>
    </row>
    <row r="10" spans="2:5" x14ac:dyDescent="0.25">
      <c r="B10" s="214"/>
      <c r="C10" s="214"/>
      <c r="D10" s="214"/>
      <c r="E10" s="214"/>
    </row>
    <row r="11" spans="2:5" ht="22.8" x14ac:dyDescent="0.25">
      <c r="B11" s="220" t="s">
        <v>89</v>
      </c>
      <c r="C11" s="214"/>
      <c r="D11" s="214"/>
      <c r="E11" s="214"/>
    </row>
    <row r="12" spans="2:5" ht="15" customHeight="1" x14ac:dyDescent="0.25">
      <c r="B12" s="221" t="s">
        <v>605</v>
      </c>
      <c r="C12" s="214"/>
      <c r="D12" s="214"/>
      <c r="E12" s="214"/>
    </row>
    <row r="13" spans="2:5" ht="15" customHeight="1" thickBot="1" x14ac:dyDescent="0.3">
      <c r="B13" s="214"/>
      <c r="C13" s="214"/>
      <c r="D13" s="214"/>
      <c r="E13" s="214"/>
    </row>
    <row r="14" spans="2:5" ht="20.25" customHeight="1" thickBot="1" x14ac:dyDescent="0.3">
      <c r="B14" s="222" t="s">
        <v>87</v>
      </c>
      <c r="C14" s="223" t="s">
        <v>722</v>
      </c>
      <c r="D14" s="223" t="s">
        <v>723</v>
      </c>
      <c r="E14" s="224" t="s">
        <v>721</v>
      </c>
    </row>
    <row r="15" spans="2:5" x14ac:dyDescent="0.25">
      <c r="B15" s="300" t="s">
        <v>927</v>
      </c>
      <c r="C15" s="301" t="s">
        <v>930</v>
      </c>
      <c r="D15" s="307">
        <v>43153</v>
      </c>
      <c r="E15" s="302" t="s">
        <v>928</v>
      </c>
    </row>
    <row r="16" spans="2:5" x14ac:dyDescent="0.25">
      <c r="B16" s="303" t="s">
        <v>978</v>
      </c>
      <c r="C16" s="299" t="s">
        <v>987</v>
      </c>
      <c r="D16" s="306">
        <v>43171</v>
      </c>
      <c r="E16" s="304" t="s">
        <v>928</v>
      </c>
    </row>
    <row r="17" spans="2:5" x14ac:dyDescent="0.25">
      <c r="B17" s="303" t="s">
        <v>1093</v>
      </c>
      <c r="C17" s="299" t="s">
        <v>1094</v>
      </c>
      <c r="D17" s="299">
        <v>43175</v>
      </c>
      <c r="E17" s="304" t="s">
        <v>928</v>
      </c>
    </row>
    <row r="18" spans="2:5" x14ac:dyDescent="0.25">
      <c r="B18" s="303"/>
      <c r="C18" s="299"/>
      <c r="D18" s="299"/>
      <c r="E18" s="304"/>
    </row>
    <row r="19" spans="2:5" x14ac:dyDescent="0.25">
      <c r="B19" s="303"/>
      <c r="C19" s="299"/>
      <c r="D19" s="299"/>
      <c r="E19" s="304"/>
    </row>
    <row r="20" spans="2:5" x14ac:dyDescent="0.25">
      <c r="B20" s="303"/>
      <c r="C20" s="299"/>
      <c r="D20" s="299"/>
      <c r="E20" s="304"/>
    </row>
    <row r="21" spans="2:5" x14ac:dyDescent="0.25">
      <c r="B21" s="303"/>
      <c r="C21" s="299"/>
      <c r="D21" s="299"/>
      <c r="E21" s="304"/>
    </row>
    <row r="22" spans="2:5" ht="14.4" thickBot="1" x14ac:dyDescent="0.3">
      <c r="B22" s="368"/>
      <c r="C22" s="296"/>
      <c r="D22" s="297"/>
      <c r="E22" s="298"/>
    </row>
    <row r="23" spans="2:5" s="214" customFormat="1" x14ac:dyDescent="0.25"/>
    <row r="24" spans="2:5" s="214" customFormat="1" ht="22.8" x14ac:dyDescent="0.25">
      <c r="B24" s="220" t="s">
        <v>602</v>
      </c>
    </row>
    <row r="25" spans="2:5" s="214" customFormat="1" x14ac:dyDescent="0.25">
      <c r="B25" s="221" t="s">
        <v>603</v>
      </c>
    </row>
    <row r="26" spans="2:5" s="214" customFormat="1" ht="14.4" thickBot="1" x14ac:dyDescent="0.3"/>
    <row r="27" spans="2:5" ht="20.25" customHeight="1" thickBot="1" x14ac:dyDescent="0.3">
      <c r="B27" s="225" t="s">
        <v>606</v>
      </c>
      <c r="C27" s="226" t="s">
        <v>85</v>
      </c>
      <c r="D27" s="468" t="s">
        <v>197</v>
      </c>
      <c r="E27" s="469"/>
    </row>
    <row r="28" spans="2:5" x14ac:dyDescent="0.25">
      <c r="B28" s="375" t="s">
        <v>596</v>
      </c>
      <c r="C28" s="376" t="s">
        <v>555</v>
      </c>
      <c r="D28" s="470" t="s">
        <v>748</v>
      </c>
      <c r="E28" s="471"/>
    </row>
    <row r="29" spans="2:5" x14ac:dyDescent="0.25">
      <c r="B29" s="369" t="s">
        <v>597</v>
      </c>
      <c r="C29" s="370" t="s">
        <v>569</v>
      </c>
      <c r="D29" s="461" t="s">
        <v>564</v>
      </c>
      <c r="E29" s="462"/>
    </row>
    <row r="30" spans="2:5" ht="29.4" customHeight="1" x14ac:dyDescent="0.25">
      <c r="B30" s="371" t="s">
        <v>598</v>
      </c>
      <c r="C30" s="372" t="s">
        <v>567</v>
      </c>
      <c r="D30" s="446" t="s">
        <v>568</v>
      </c>
      <c r="E30" s="447"/>
    </row>
    <row r="31" spans="2:5" x14ac:dyDescent="0.25">
      <c r="B31" s="371" t="s">
        <v>599</v>
      </c>
      <c r="C31" s="372" t="s">
        <v>574</v>
      </c>
      <c r="D31" s="448" t="s">
        <v>565</v>
      </c>
      <c r="E31" s="449"/>
    </row>
    <row r="32" spans="2:5" x14ac:dyDescent="0.25">
      <c r="B32" s="371" t="s">
        <v>600</v>
      </c>
      <c r="C32" s="372" t="s">
        <v>566</v>
      </c>
      <c r="D32" s="446" t="s">
        <v>565</v>
      </c>
      <c r="E32" s="447"/>
    </row>
    <row r="33" spans="1:8" ht="14.4" thickBot="1" x14ac:dyDescent="0.3">
      <c r="B33" s="373" t="s">
        <v>727</v>
      </c>
      <c r="C33" s="374" t="s">
        <v>726</v>
      </c>
      <c r="D33" s="444" t="s">
        <v>952</v>
      </c>
      <c r="E33" s="445"/>
    </row>
    <row r="34" spans="1:8" s="214" customFormat="1" x14ac:dyDescent="0.25"/>
    <row r="35" spans="1:8" s="214" customFormat="1" ht="22.8" x14ac:dyDescent="0.25">
      <c r="B35" s="220" t="s">
        <v>156</v>
      </c>
    </row>
    <row r="36" spans="1:8" s="214" customFormat="1" ht="15" x14ac:dyDescent="0.25">
      <c r="B36" s="227" t="s">
        <v>157</v>
      </c>
    </row>
    <row r="37" spans="1:8" s="214" customFormat="1" ht="14.4" thickBot="1" x14ac:dyDescent="0.3"/>
    <row r="38" spans="1:8" ht="20.25" customHeight="1" thickBot="1" x14ac:dyDescent="0.3">
      <c r="B38" s="228" t="s">
        <v>158</v>
      </c>
      <c r="C38" s="229" t="s">
        <v>159</v>
      </c>
      <c r="D38" s="230" t="s">
        <v>87</v>
      </c>
      <c r="E38" s="229" t="s">
        <v>4</v>
      </c>
    </row>
    <row r="39" spans="1:8" x14ac:dyDescent="0.25">
      <c r="B39" s="231" t="s">
        <v>537</v>
      </c>
      <c r="C39" s="232" t="s">
        <v>538</v>
      </c>
      <c r="D39" s="233" t="s">
        <v>999</v>
      </c>
      <c r="E39" s="234" t="s">
        <v>1099</v>
      </c>
    </row>
    <row r="40" spans="1:8" x14ac:dyDescent="0.25">
      <c r="B40" s="235" t="s">
        <v>539</v>
      </c>
      <c r="C40" s="236" t="s">
        <v>540</v>
      </c>
      <c r="D40" s="237"/>
      <c r="E40" s="238"/>
    </row>
    <row r="41" spans="1:8" x14ac:dyDescent="0.25">
      <c r="B41" s="239" t="s">
        <v>541</v>
      </c>
      <c r="C41" s="236" t="s">
        <v>542</v>
      </c>
      <c r="D41" s="237"/>
      <c r="E41" s="238"/>
    </row>
    <row r="42" spans="1:8" x14ac:dyDescent="0.25">
      <c r="B42" s="239" t="s">
        <v>165</v>
      </c>
      <c r="C42" s="240" t="s">
        <v>601</v>
      </c>
      <c r="D42" s="237" t="s">
        <v>929</v>
      </c>
      <c r="E42" s="238" t="s">
        <v>979</v>
      </c>
    </row>
    <row r="43" spans="1:8" x14ac:dyDescent="0.25">
      <c r="B43" s="239" t="s">
        <v>280</v>
      </c>
      <c r="C43" s="240" t="s">
        <v>163</v>
      </c>
      <c r="D43" s="237"/>
      <c r="E43" s="238"/>
    </row>
    <row r="44" spans="1:8" s="241" customFormat="1" x14ac:dyDescent="0.25">
      <c r="A44" s="214"/>
      <c r="B44" s="239" t="s">
        <v>264</v>
      </c>
      <c r="C44" s="240" t="s">
        <v>265</v>
      </c>
      <c r="D44" s="237"/>
      <c r="E44" s="238"/>
      <c r="F44" s="214"/>
      <c r="G44" s="214"/>
      <c r="H44" s="214"/>
    </row>
    <row r="45" spans="1:8" x14ac:dyDescent="0.25">
      <c r="B45" s="239" t="s">
        <v>547</v>
      </c>
      <c r="C45" s="236" t="s">
        <v>556</v>
      </c>
      <c r="D45" s="237"/>
      <c r="E45" s="238"/>
    </row>
    <row r="46" spans="1:8" x14ac:dyDescent="0.25">
      <c r="B46" s="239" t="s">
        <v>749</v>
      </c>
      <c r="C46" s="236" t="s">
        <v>750</v>
      </c>
      <c r="D46" s="237"/>
      <c r="E46" s="238"/>
    </row>
    <row r="47" spans="1:8" x14ac:dyDescent="0.25">
      <c r="B47" s="239" t="s">
        <v>751</v>
      </c>
      <c r="C47" s="236" t="s">
        <v>750</v>
      </c>
      <c r="D47" s="237"/>
      <c r="E47" s="238"/>
    </row>
    <row r="48" spans="1:8" x14ac:dyDescent="0.25">
      <c r="B48" s="242" t="s">
        <v>752</v>
      </c>
      <c r="C48" s="243" t="s">
        <v>557</v>
      </c>
      <c r="D48" s="237"/>
      <c r="E48" s="238"/>
    </row>
    <row r="49" spans="2:5" x14ac:dyDescent="0.25">
      <c r="B49" s="242" t="s">
        <v>130</v>
      </c>
      <c r="C49" s="243" t="s">
        <v>558</v>
      </c>
      <c r="D49" s="237"/>
      <c r="E49" s="238"/>
    </row>
    <row r="50" spans="2:5" x14ac:dyDescent="0.25">
      <c r="B50" s="242" t="s">
        <v>745</v>
      </c>
      <c r="C50" s="243" t="s">
        <v>558</v>
      </c>
      <c r="D50" s="237"/>
      <c r="E50" s="238"/>
    </row>
    <row r="51" spans="2:5" x14ac:dyDescent="0.25">
      <c r="B51" s="242" t="s">
        <v>746</v>
      </c>
      <c r="C51" s="243" t="s">
        <v>747</v>
      </c>
      <c r="D51" s="237" t="s">
        <v>929</v>
      </c>
      <c r="E51" s="238" t="s">
        <v>980</v>
      </c>
    </row>
    <row r="52" spans="2:5" x14ac:dyDescent="0.25">
      <c r="B52" s="239" t="s">
        <v>162</v>
      </c>
      <c r="C52" s="236" t="s">
        <v>164</v>
      </c>
      <c r="D52" s="237"/>
      <c r="E52" s="238"/>
    </row>
    <row r="53" spans="2:5" x14ac:dyDescent="0.25">
      <c r="B53" s="239" t="s">
        <v>648</v>
      </c>
      <c r="C53" s="236" t="s">
        <v>810</v>
      </c>
      <c r="D53" s="237"/>
      <c r="E53" s="238"/>
    </row>
    <row r="54" spans="2:5" x14ac:dyDescent="0.25">
      <c r="B54" s="242" t="s">
        <v>982</v>
      </c>
      <c r="C54" s="243" t="s">
        <v>983</v>
      </c>
      <c r="D54" s="237" t="s">
        <v>929</v>
      </c>
      <c r="E54" s="238" t="s">
        <v>984</v>
      </c>
    </row>
    <row r="55" spans="2:5" x14ac:dyDescent="0.25">
      <c r="B55" s="239" t="s">
        <v>588</v>
      </c>
      <c r="C55" s="236" t="s">
        <v>164</v>
      </c>
      <c r="D55" s="237"/>
      <c r="E55" s="238"/>
    </row>
    <row r="56" spans="2:5" x14ac:dyDescent="0.25">
      <c r="B56" s="242" t="s">
        <v>545</v>
      </c>
      <c r="C56" s="243" t="s">
        <v>546</v>
      </c>
      <c r="D56" s="237"/>
      <c r="E56" s="238"/>
    </row>
    <row r="57" spans="2:5" x14ac:dyDescent="0.25">
      <c r="B57" s="242" t="s">
        <v>1095</v>
      </c>
      <c r="C57" s="243" t="s">
        <v>747</v>
      </c>
      <c r="D57" s="237" t="s">
        <v>999</v>
      </c>
      <c r="E57" s="238" t="s">
        <v>1096</v>
      </c>
    </row>
    <row r="58" spans="2:5" x14ac:dyDescent="0.25">
      <c r="B58" s="242" t="s">
        <v>646</v>
      </c>
      <c r="C58" s="243" t="s">
        <v>647</v>
      </c>
      <c r="D58" s="237"/>
      <c r="E58" s="238"/>
    </row>
    <row r="59" spans="2:5" x14ac:dyDescent="0.25">
      <c r="B59" s="242" t="s">
        <v>743</v>
      </c>
      <c r="C59" s="243" t="s">
        <v>744</v>
      </c>
      <c r="D59" s="237"/>
      <c r="E59" s="238"/>
    </row>
    <row r="60" spans="2:5" x14ac:dyDescent="0.25">
      <c r="B60" s="242" t="s">
        <v>822</v>
      </c>
      <c r="C60" s="243" t="s">
        <v>821</v>
      </c>
      <c r="D60" s="237"/>
      <c r="E60" s="238"/>
    </row>
    <row r="61" spans="2:5" x14ac:dyDescent="0.25">
      <c r="B61" s="242" t="s">
        <v>981</v>
      </c>
      <c r="C61" s="243" t="s">
        <v>821</v>
      </c>
      <c r="D61" s="237" t="s">
        <v>929</v>
      </c>
      <c r="E61" s="238" t="s">
        <v>980</v>
      </c>
    </row>
    <row r="62" spans="2:5" x14ac:dyDescent="0.25">
      <c r="B62" s="242" t="s">
        <v>809</v>
      </c>
      <c r="C62" s="243" t="s">
        <v>808</v>
      </c>
      <c r="D62" s="237"/>
      <c r="E62" s="238"/>
    </row>
    <row r="63" spans="2:5" x14ac:dyDescent="0.25">
      <c r="B63" s="242" t="s">
        <v>553</v>
      </c>
      <c r="C63" s="243" t="s">
        <v>554</v>
      </c>
      <c r="D63" s="237"/>
      <c r="E63" s="238"/>
    </row>
    <row r="64" spans="2:5" ht="14.4" thickBot="1" x14ac:dyDescent="0.3">
      <c r="B64" s="244" t="s">
        <v>544</v>
      </c>
      <c r="C64" s="245" t="s">
        <v>649</v>
      </c>
      <c r="D64" s="246"/>
      <c r="E64" s="247"/>
    </row>
    <row r="65" spans="1:8" s="214" customFormat="1" x14ac:dyDescent="0.25"/>
    <row r="66" spans="1:8" s="214" customFormat="1" x14ac:dyDescent="0.25">
      <c r="B66" s="221" t="s">
        <v>604</v>
      </c>
      <c r="C66" s="221"/>
      <c r="D66" s="221"/>
      <c r="E66" s="221"/>
    </row>
    <row r="67" spans="1:8" s="214" customFormat="1" x14ac:dyDescent="0.25">
      <c r="B67" s="221" t="s">
        <v>575</v>
      </c>
      <c r="C67" s="221"/>
      <c r="D67" s="221"/>
      <c r="E67" s="221"/>
    </row>
    <row r="68" spans="1:8" s="214" customFormat="1" x14ac:dyDescent="0.25">
      <c r="B68" s="221"/>
      <c r="C68" s="221"/>
      <c r="D68" s="221"/>
      <c r="E68" s="221"/>
    </row>
    <row r="69" spans="1:8" s="214" customFormat="1" ht="22.8" x14ac:dyDescent="0.25">
      <c r="B69" s="220" t="s">
        <v>160</v>
      </c>
    </row>
    <row r="70" spans="1:8" s="214" customFormat="1" ht="15" x14ac:dyDescent="0.25">
      <c r="B70" s="227" t="s">
        <v>161</v>
      </c>
    </row>
    <row r="71" spans="1:8" s="214" customFormat="1" ht="15.6" thickBot="1" x14ac:dyDescent="0.3">
      <c r="B71" s="227"/>
    </row>
    <row r="72" spans="1:8" ht="20.25" customHeight="1" thickBot="1" x14ac:dyDescent="0.3">
      <c r="B72" s="248" t="s">
        <v>11</v>
      </c>
      <c r="C72" s="249" t="s">
        <v>159</v>
      </c>
      <c r="D72" s="249" t="s">
        <v>87</v>
      </c>
      <c r="E72" s="249" t="s">
        <v>4</v>
      </c>
    </row>
    <row r="73" spans="1:8" x14ac:dyDescent="0.25">
      <c r="B73" s="235" t="s">
        <v>551</v>
      </c>
      <c r="C73" s="236" t="s">
        <v>552</v>
      </c>
      <c r="D73" s="250" t="s">
        <v>999</v>
      </c>
      <c r="E73" s="432">
        <v>43175</v>
      </c>
    </row>
    <row r="74" spans="1:8" s="252" customFormat="1" ht="14.4" thickBot="1" x14ac:dyDescent="0.3">
      <c r="A74" s="214"/>
      <c r="B74" s="235" t="s">
        <v>549</v>
      </c>
      <c r="C74" s="251" t="s">
        <v>550</v>
      </c>
      <c r="D74" s="254" t="s">
        <v>999</v>
      </c>
      <c r="E74" s="433">
        <v>43170</v>
      </c>
      <c r="F74" s="214"/>
      <c r="G74" s="214"/>
      <c r="H74" s="214"/>
    </row>
    <row r="75" spans="1:8" ht="14.4" thickBot="1" x14ac:dyDescent="0.3">
      <c r="B75" s="253" t="s">
        <v>543</v>
      </c>
      <c r="C75" s="245" t="s">
        <v>548</v>
      </c>
      <c r="D75" s="254" t="s">
        <v>929</v>
      </c>
      <c r="E75" s="433">
        <v>43164</v>
      </c>
    </row>
    <row r="76" spans="1:8" s="214" customFormat="1" x14ac:dyDescent="0.25"/>
    <row r="77" spans="1:8" s="214" customFormat="1" x14ac:dyDescent="0.25"/>
    <row r="78" spans="1:8" s="214" customFormat="1" x14ac:dyDescent="0.25"/>
    <row r="79" spans="1:8" s="214" customFormat="1" x14ac:dyDescent="0.25"/>
    <row r="80" spans="1:8" s="214" customFormat="1" x14ac:dyDescent="0.25"/>
    <row r="81" s="214" customFormat="1" x14ac:dyDescent="0.25"/>
    <row r="82" s="214" customFormat="1" x14ac:dyDescent="0.25"/>
    <row r="83" s="214" customFormat="1" x14ac:dyDescent="0.25"/>
    <row r="84" s="214" customFormat="1" x14ac:dyDescent="0.25"/>
    <row r="85" s="214" customFormat="1" x14ac:dyDescent="0.25"/>
    <row r="86" s="214" customFormat="1" x14ac:dyDescent="0.25"/>
    <row r="87" s="214" customFormat="1" x14ac:dyDescent="0.25"/>
    <row r="88" s="214" customFormat="1" x14ac:dyDescent="0.25"/>
    <row r="89" s="214" customFormat="1" x14ac:dyDescent="0.25"/>
    <row r="90" s="214" customFormat="1" x14ac:dyDescent="0.25"/>
    <row r="91" s="214" customFormat="1" x14ac:dyDescent="0.25"/>
    <row r="92" s="214" customFormat="1" x14ac:dyDescent="0.25"/>
    <row r="93" s="214" customFormat="1" x14ac:dyDescent="0.25"/>
    <row r="94" s="214" customFormat="1" x14ac:dyDescent="0.25"/>
    <row r="95" s="214" customFormat="1" x14ac:dyDescent="0.25"/>
    <row r="96" s="214" customFormat="1" x14ac:dyDescent="0.25"/>
    <row r="97" s="214" customFormat="1" x14ac:dyDescent="0.25"/>
    <row r="98" s="214" customFormat="1" x14ac:dyDescent="0.25"/>
    <row r="99" s="214" customFormat="1" x14ac:dyDescent="0.25"/>
    <row r="100" s="214" customFormat="1" x14ac:dyDescent="0.25"/>
    <row r="101" s="214" customFormat="1" x14ac:dyDescent="0.25"/>
  </sheetData>
  <mergeCells count="15">
    <mergeCell ref="D33:E33"/>
    <mergeCell ref="D30:E30"/>
    <mergeCell ref="D31:E31"/>
    <mergeCell ref="D32:E32"/>
    <mergeCell ref="C2:E2"/>
    <mergeCell ref="C3:E3"/>
    <mergeCell ref="C4:E4"/>
    <mergeCell ref="C5:E5"/>
    <mergeCell ref="D29:E29"/>
    <mergeCell ref="C6:E6"/>
    <mergeCell ref="C7:E7"/>
    <mergeCell ref="C9:E9"/>
    <mergeCell ref="D27:E27"/>
    <mergeCell ref="D28:E28"/>
    <mergeCell ref="C8:E8"/>
  </mergeCells>
  <pageMargins left="0.70866141732283472" right="0.70866141732283472" top="0.74803149606299213" bottom="0.74803149606299213" header="0.31496062992125984" footer="0.31496062992125984"/>
  <pageSetup paperSize="8" orientation="landscape" r:id="rId1"/>
  <ignoredErrors>
    <ignoredError sqref="B1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66"/>
  <sheetViews>
    <sheetView showGridLines="0" zoomScale="85" zoomScaleNormal="85" workbookViewId="0"/>
  </sheetViews>
  <sheetFormatPr defaultColWidth="9.109375" defaultRowHeight="13.2" x14ac:dyDescent="0.25"/>
  <cols>
    <col min="1" max="1" width="4.5546875" style="190" customWidth="1"/>
    <col min="2" max="2" width="20.5546875" style="190" customWidth="1"/>
    <col min="3" max="3" width="17.88671875" style="190" customWidth="1"/>
    <col min="4" max="4" width="58" style="190" customWidth="1"/>
    <col min="5" max="16384" width="9.109375" style="190"/>
  </cols>
  <sheetData>
    <row r="1" spans="1:2" ht="39.75" customHeight="1" x14ac:dyDescent="0.25">
      <c r="A1" s="190" t="s">
        <v>510</v>
      </c>
      <c r="B1" s="212" t="s">
        <v>536</v>
      </c>
    </row>
    <row r="18" spans="2:14" x14ac:dyDescent="0.25">
      <c r="D18" s="190" t="s">
        <v>511</v>
      </c>
    </row>
    <row r="25" spans="2:14" ht="27.75" customHeight="1" x14ac:dyDescent="0.25">
      <c r="B25" s="213" t="s">
        <v>607</v>
      </c>
    </row>
    <row r="27" spans="2:14" ht="18" x14ac:dyDescent="0.25">
      <c r="B27" s="256" t="s">
        <v>608</v>
      </c>
    </row>
    <row r="29" spans="2:14" ht="12.75" customHeight="1" x14ac:dyDescent="0.25">
      <c r="D29" s="190" t="s">
        <v>512</v>
      </c>
      <c r="J29" s="472" t="s">
        <v>759</v>
      </c>
      <c r="K29" s="472"/>
      <c r="L29" s="472"/>
      <c r="M29" s="472"/>
      <c r="N29" s="313"/>
    </row>
    <row r="30" spans="2:14" x14ac:dyDescent="0.25">
      <c r="D30" s="191"/>
      <c r="J30" s="313" t="s">
        <v>760</v>
      </c>
      <c r="K30" s="313"/>
      <c r="L30" s="313"/>
      <c r="M30" s="313"/>
      <c r="N30" s="313"/>
    </row>
    <row r="31" spans="2:14" x14ac:dyDescent="0.25">
      <c r="J31" s="473" t="s">
        <v>761</v>
      </c>
      <c r="K31" s="473"/>
      <c r="L31" s="473"/>
      <c r="M31" s="473"/>
      <c r="N31" s="473"/>
    </row>
    <row r="32" spans="2:14" x14ac:dyDescent="0.25">
      <c r="J32" s="474" t="s">
        <v>762</v>
      </c>
      <c r="K32" s="474"/>
      <c r="L32" s="474"/>
      <c r="M32" s="474"/>
      <c r="N32" s="474"/>
    </row>
    <row r="33" spans="4:14" x14ac:dyDescent="0.25">
      <c r="D33" s="190" t="s">
        <v>576</v>
      </c>
      <c r="J33" s="475" t="s">
        <v>763</v>
      </c>
      <c r="K33" s="475"/>
      <c r="L33" s="475"/>
      <c r="M33" s="475"/>
      <c r="N33" s="475"/>
    </row>
    <row r="34" spans="4:14" x14ac:dyDescent="0.25">
      <c r="D34" s="191"/>
      <c r="J34" s="476" t="s">
        <v>764</v>
      </c>
      <c r="K34" s="476"/>
      <c r="L34" s="476"/>
      <c r="M34" s="476"/>
      <c r="N34" s="476"/>
    </row>
    <row r="35" spans="4:14" ht="15" x14ac:dyDescent="0.25">
      <c r="D35" s="255"/>
    </row>
    <row r="37" spans="4:14" x14ac:dyDescent="0.25">
      <c r="D37" s="190" t="s">
        <v>513</v>
      </c>
    </row>
    <row r="38" spans="4:14" x14ac:dyDescent="0.25">
      <c r="D38" s="191"/>
    </row>
    <row r="41" spans="4:14" x14ac:dyDescent="0.25">
      <c r="D41" s="190" t="s">
        <v>528</v>
      </c>
    </row>
    <row r="42" spans="4:14" x14ac:dyDescent="0.25">
      <c r="D42" s="191"/>
    </row>
    <row r="46" spans="4:14" x14ac:dyDescent="0.25">
      <c r="D46" s="190" t="s">
        <v>514</v>
      </c>
    </row>
    <row r="50" spans="4:4" x14ac:dyDescent="0.25">
      <c r="D50" s="190" t="s">
        <v>515</v>
      </c>
    </row>
    <row r="54" spans="4:4" x14ac:dyDescent="0.25">
      <c r="D54" s="190" t="s">
        <v>516</v>
      </c>
    </row>
    <row r="58" spans="4:4" x14ac:dyDescent="0.25">
      <c r="D58" s="190" t="s">
        <v>517</v>
      </c>
    </row>
    <row r="62" spans="4:4" x14ac:dyDescent="0.25">
      <c r="D62" s="210" t="s">
        <v>563</v>
      </c>
    </row>
    <row r="63" spans="4:4" x14ac:dyDescent="0.25">
      <c r="D63" s="191"/>
    </row>
    <row r="64" spans="4:4" x14ac:dyDescent="0.25">
      <c r="D64" s="191"/>
    </row>
    <row r="65" spans="2:4" x14ac:dyDescent="0.25">
      <c r="D65" s="191"/>
    </row>
    <row r="66" spans="2:4" x14ac:dyDescent="0.25">
      <c r="B66" s="280"/>
      <c r="C66" s="280"/>
    </row>
  </sheetData>
  <mergeCells count="5">
    <mergeCell ref="J29:M29"/>
    <mergeCell ref="J31:N31"/>
    <mergeCell ref="J32:N32"/>
    <mergeCell ref="J33:N33"/>
    <mergeCell ref="J34:N34"/>
  </mergeCells>
  <pageMargins left="0.75" right="0.75" top="1" bottom="1" header="0.5" footer="0.5"/>
  <pageSetup paperSize="8" scale="99" fitToHeight="3"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41"/>
  <sheetViews>
    <sheetView zoomScale="90" zoomScaleNormal="90" workbookViewId="0">
      <selection activeCell="B19" sqref="B19"/>
    </sheetView>
  </sheetViews>
  <sheetFormatPr defaultColWidth="9.109375" defaultRowHeight="13.2" x14ac:dyDescent="0.25"/>
  <cols>
    <col min="1" max="1" width="4.109375" style="183" customWidth="1"/>
    <col min="2" max="3" width="9.109375" style="183"/>
    <col min="4" max="4" width="21.109375" style="183" customWidth="1"/>
    <col min="5" max="5" width="129.33203125" style="183" customWidth="1"/>
    <col min="6" max="6" width="13.33203125" style="183" customWidth="1"/>
    <col min="7" max="16384" width="9.109375" style="183"/>
  </cols>
  <sheetData>
    <row r="1" spans="2:7" s="180" customFormat="1" ht="11.25" customHeight="1" x14ac:dyDescent="0.25"/>
    <row r="2" spans="2:7" s="181" customFormat="1" ht="28.5" customHeight="1" x14ac:dyDescent="0.3">
      <c r="B2" s="257" t="s">
        <v>507</v>
      </c>
      <c r="C2" s="192"/>
      <c r="D2" s="192"/>
      <c r="E2" s="192"/>
    </row>
    <row r="3" spans="2:7" s="181" customFormat="1" ht="15" x14ac:dyDescent="0.25">
      <c r="B3" s="193" t="s">
        <v>611</v>
      </c>
      <c r="C3" s="192"/>
      <c r="D3" s="192"/>
      <c r="E3" s="192"/>
    </row>
    <row r="4" spans="2:7" s="181" customFormat="1" ht="9.75" customHeight="1" thickBot="1" x14ac:dyDescent="0.3">
      <c r="B4" s="193"/>
      <c r="C4" s="192"/>
      <c r="D4" s="192"/>
      <c r="E4" s="192"/>
    </row>
    <row r="5" spans="2:7" ht="13.8" thickBot="1" x14ac:dyDescent="0.3">
      <c r="B5" s="194" t="s">
        <v>122</v>
      </c>
      <c r="C5" s="195"/>
      <c r="D5" s="196"/>
      <c r="E5" s="477" t="s">
        <v>508</v>
      </c>
      <c r="F5" s="478"/>
    </row>
    <row r="6" spans="2:7" ht="91.5" customHeight="1" thickBot="1" x14ac:dyDescent="0.3">
      <c r="B6" s="258" t="s">
        <v>518</v>
      </c>
      <c r="C6" s="259"/>
      <c r="D6" s="260"/>
      <c r="E6" s="483" t="s">
        <v>577</v>
      </c>
      <c r="F6" s="484"/>
    </row>
    <row r="7" spans="2:7" ht="42.75" customHeight="1" thickBot="1" x14ac:dyDescent="0.3">
      <c r="B7" s="488" t="s">
        <v>570</v>
      </c>
      <c r="C7" s="489"/>
      <c r="D7" s="490"/>
      <c r="E7" s="479" t="s">
        <v>578</v>
      </c>
      <c r="F7" s="480"/>
    </row>
    <row r="8" spans="2:7" ht="75.75" customHeight="1" thickBot="1" x14ac:dyDescent="0.3">
      <c r="B8" s="485" t="s">
        <v>167</v>
      </c>
      <c r="C8" s="486"/>
      <c r="D8" s="487"/>
      <c r="E8" s="481" t="s">
        <v>612</v>
      </c>
      <c r="F8" s="482"/>
    </row>
    <row r="11" spans="2:7" s="181" customFormat="1" ht="17.399999999999999" x14ac:dyDescent="0.3">
      <c r="B11" s="257" t="s">
        <v>509</v>
      </c>
    </row>
    <row r="12" spans="2:7" s="181" customFormat="1" ht="15" x14ac:dyDescent="0.25">
      <c r="B12" s="182" t="s">
        <v>610</v>
      </c>
    </row>
    <row r="13" spans="2:7" x14ac:dyDescent="0.25">
      <c r="B13" s="184"/>
    </row>
    <row r="14" spans="2:7" ht="15.9" customHeight="1" x14ac:dyDescent="0.25">
      <c r="B14" s="185"/>
      <c r="C14" s="186"/>
      <c r="D14" s="186"/>
      <c r="E14" s="186"/>
      <c r="F14" s="186"/>
      <c r="G14" s="186"/>
    </row>
    <row r="15" spans="2:7" ht="15.9" customHeight="1" x14ac:dyDescent="0.25">
      <c r="B15" s="185"/>
      <c r="C15" s="186"/>
      <c r="D15" s="186"/>
      <c r="E15" s="186"/>
      <c r="F15" s="186"/>
      <c r="G15" s="186"/>
    </row>
    <row r="16" spans="2:7" ht="15.9" customHeight="1" x14ac:dyDescent="0.25">
      <c r="B16" s="187"/>
      <c r="C16" s="186"/>
      <c r="D16" s="186"/>
      <c r="E16" s="186"/>
      <c r="F16" s="186"/>
      <c r="G16" s="186"/>
    </row>
    <row r="17" spans="2:7" ht="15.9" customHeight="1" x14ac:dyDescent="0.25">
      <c r="B17" s="187"/>
      <c r="C17" s="186"/>
      <c r="D17" s="186"/>
      <c r="E17" s="186"/>
      <c r="F17" s="186"/>
      <c r="G17" s="186"/>
    </row>
    <row r="18" spans="2:7" ht="15.9" customHeight="1" x14ac:dyDescent="0.25">
      <c r="B18" s="187"/>
      <c r="C18" s="186"/>
      <c r="D18" s="186"/>
      <c r="E18" s="186"/>
      <c r="F18" s="186"/>
      <c r="G18" s="186"/>
    </row>
    <row r="19" spans="2:7" x14ac:dyDescent="0.25">
      <c r="B19" s="186"/>
      <c r="C19" s="186"/>
      <c r="D19" s="186"/>
      <c r="E19" s="186"/>
      <c r="F19" s="186"/>
      <c r="G19" s="186"/>
    </row>
    <row r="20" spans="2:7" x14ac:dyDescent="0.25">
      <c r="B20" s="188"/>
      <c r="C20" s="186"/>
      <c r="D20" s="186"/>
      <c r="E20" s="186"/>
      <c r="F20" s="186"/>
      <c r="G20" s="186"/>
    </row>
    <row r="21" spans="2:7" ht="14.4" x14ac:dyDescent="0.25">
      <c r="B21" s="189"/>
      <c r="C21" s="186"/>
      <c r="D21" s="186"/>
      <c r="E21" s="186"/>
      <c r="F21" s="186"/>
      <c r="G21" s="186"/>
    </row>
    <row r="22" spans="2:7" ht="14.4" x14ac:dyDescent="0.25">
      <c r="B22" s="189"/>
      <c r="C22" s="186"/>
      <c r="D22" s="186"/>
      <c r="E22" s="186"/>
      <c r="F22" s="186"/>
      <c r="G22" s="186"/>
    </row>
    <row r="23" spans="2:7" ht="14.4" x14ac:dyDescent="0.25">
      <c r="B23" s="189"/>
      <c r="C23" s="186"/>
      <c r="D23" s="186"/>
      <c r="E23" s="186"/>
      <c r="F23" s="186"/>
      <c r="G23" s="186"/>
    </row>
    <row r="24" spans="2:7" x14ac:dyDescent="0.25">
      <c r="B24" s="186"/>
      <c r="C24" s="186"/>
      <c r="D24" s="186"/>
      <c r="E24" s="186"/>
      <c r="F24" s="186"/>
      <c r="G24" s="186"/>
    </row>
    <row r="25" spans="2:7" x14ac:dyDescent="0.25">
      <c r="B25" s="188"/>
      <c r="C25" s="186"/>
      <c r="D25" s="186"/>
      <c r="E25" s="186"/>
      <c r="F25" s="186"/>
      <c r="G25" s="186"/>
    </row>
    <row r="26" spans="2:7" ht="14.4" x14ac:dyDescent="0.25">
      <c r="B26" s="189"/>
      <c r="C26" s="186"/>
      <c r="D26" s="186"/>
      <c r="E26" s="186"/>
      <c r="F26" s="186"/>
      <c r="G26" s="186"/>
    </row>
    <row r="27" spans="2:7" ht="14.4" x14ac:dyDescent="0.25">
      <c r="B27" s="189"/>
      <c r="C27" s="186"/>
      <c r="D27" s="186"/>
      <c r="E27" s="186"/>
      <c r="F27" s="186"/>
      <c r="G27" s="186"/>
    </row>
    <row r="28" spans="2:7" ht="14.4" x14ac:dyDescent="0.25">
      <c r="B28" s="189"/>
      <c r="C28" s="186"/>
      <c r="D28" s="186"/>
      <c r="E28" s="186"/>
      <c r="F28" s="186"/>
      <c r="G28" s="186"/>
    </row>
    <row r="29" spans="2:7" x14ac:dyDescent="0.25">
      <c r="B29" s="186"/>
      <c r="C29" s="186"/>
      <c r="D29" s="186"/>
      <c r="E29" s="186"/>
      <c r="F29" s="186"/>
      <c r="G29" s="186"/>
    </row>
    <row r="30" spans="2:7" x14ac:dyDescent="0.25">
      <c r="B30" s="186"/>
      <c r="C30" s="186"/>
      <c r="D30" s="186"/>
      <c r="E30" s="186"/>
      <c r="F30" s="186"/>
      <c r="G30" s="186"/>
    </row>
    <row r="40" spans="2:10" ht="12" customHeight="1" x14ac:dyDescent="0.25">
      <c r="B40" s="211"/>
      <c r="C40" s="210"/>
      <c r="D40" s="211"/>
      <c r="E40" s="211"/>
      <c r="F40" s="211"/>
      <c r="G40" s="211"/>
      <c r="H40" s="211"/>
      <c r="I40" s="211"/>
      <c r="J40" s="211"/>
    </row>
    <row r="41" spans="2:10" x14ac:dyDescent="0.25">
      <c r="B41" s="211"/>
      <c r="C41" s="211"/>
      <c r="D41" s="211"/>
      <c r="E41" s="211"/>
      <c r="F41" s="211"/>
      <c r="G41" s="211"/>
      <c r="H41" s="211"/>
      <c r="I41" s="211"/>
      <c r="J41" s="211"/>
    </row>
  </sheetData>
  <mergeCells count="6">
    <mergeCell ref="E5:F5"/>
    <mergeCell ref="E7:F7"/>
    <mergeCell ref="E8:F8"/>
    <mergeCell ref="E6:F6"/>
    <mergeCell ref="B8:D8"/>
    <mergeCell ref="B7:D7"/>
  </mergeCells>
  <pageMargins left="0.7" right="0.7" top="0.75" bottom="0.75" header="0.3" footer="0.3"/>
  <pageSetup paperSize="0" orientation="portrait" horizontalDpi="0" verticalDpi="0" copie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zoomScale="80" zoomScaleNormal="80" workbookViewId="0"/>
  </sheetViews>
  <sheetFormatPr defaultColWidth="9.109375" defaultRowHeight="13.2" x14ac:dyDescent="0.25"/>
  <cols>
    <col min="1" max="1" width="1.6640625" style="5" customWidth="1"/>
    <col min="2" max="2" width="12" style="6" customWidth="1"/>
    <col min="3" max="3" width="38.44140625" style="6" customWidth="1"/>
    <col min="4" max="4" width="76.6640625" style="7" customWidth="1"/>
    <col min="5" max="5" width="31.5546875" style="7" customWidth="1"/>
    <col min="6" max="7" width="31.44140625" style="5" customWidth="1"/>
    <col min="8" max="8" width="16.33203125" style="5" customWidth="1"/>
    <col min="9" max="16384" width="9.109375" style="5"/>
  </cols>
  <sheetData>
    <row r="1" spans="1:11" s="3" customFormat="1" ht="30" x14ac:dyDescent="0.25">
      <c r="A1" s="28" t="s">
        <v>166</v>
      </c>
      <c r="B1" s="1"/>
      <c r="C1" s="2"/>
      <c r="D1" s="7"/>
      <c r="E1" s="7"/>
    </row>
    <row r="2" spans="1:11" s="3" customFormat="1" x14ac:dyDescent="0.25">
      <c r="B2" s="422" t="s">
        <v>935</v>
      </c>
      <c r="C2" s="2"/>
      <c r="D2" s="7"/>
      <c r="E2" s="7"/>
      <c r="H2" s="421"/>
    </row>
    <row r="3" spans="1:11" s="3" customFormat="1" x14ac:dyDescent="0.25">
      <c r="B3" s="2" t="s">
        <v>936</v>
      </c>
      <c r="C3" s="2"/>
      <c r="D3" s="7"/>
      <c r="E3" s="7"/>
    </row>
    <row r="4" spans="1:11" s="3" customFormat="1" x14ac:dyDescent="0.25">
      <c r="B4" s="2"/>
      <c r="C4" s="2"/>
      <c r="D4" s="7"/>
      <c r="E4" s="7"/>
    </row>
    <row r="5" spans="1:11" s="29" customFormat="1" ht="15.6" x14ac:dyDescent="0.25">
      <c r="B5" s="135" t="s">
        <v>7</v>
      </c>
      <c r="C5" s="135" t="s">
        <v>122</v>
      </c>
      <c r="D5" s="135" t="s">
        <v>3</v>
      </c>
      <c r="E5" s="135" t="s">
        <v>124</v>
      </c>
      <c r="F5" s="135" t="s">
        <v>11</v>
      </c>
      <c r="G5" s="135" t="s">
        <v>15</v>
      </c>
      <c r="H5" s="135" t="s">
        <v>123</v>
      </c>
    </row>
    <row r="6" spans="1:11" s="29" customFormat="1" ht="15.6" x14ac:dyDescent="0.25">
      <c r="B6" s="66" t="s">
        <v>150</v>
      </c>
      <c r="C6" s="59"/>
      <c r="D6" s="63"/>
      <c r="E6" s="60"/>
      <c r="F6" s="60"/>
      <c r="G6" s="60"/>
      <c r="H6" s="60"/>
    </row>
    <row r="7" spans="1:11" s="29" customFormat="1" ht="62.4" x14ac:dyDescent="0.25">
      <c r="B7" s="61"/>
      <c r="C7" s="61" t="s">
        <v>548</v>
      </c>
      <c r="D7" s="62" t="s">
        <v>559</v>
      </c>
      <c r="E7" s="64" t="s">
        <v>167</v>
      </c>
      <c r="F7" s="64"/>
      <c r="G7" s="64"/>
      <c r="H7" s="65"/>
    </row>
    <row r="8" spans="1:11" s="30" customFormat="1" ht="15.6" x14ac:dyDescent="0.25">
      <c r="B8" s="27"/>
      <c r="C8" s="27"/>
      <c r="D8" s="31"/>
      <c r="E8" s="31"/>
    </row>
    <row r="9" spans="1:11" s="29" customFormat="1" ht="15.6" x14ac:dyDescent="0.25">
      <c r="B9" s="135" t="s">
        <v>7</v>
      </c>
      <c r="C9" s="135" t="s">
        <v>146</v>
      </c>
      <c r="D9" s="135" t="s">
        <v>142</v>
      </c>
      <c r="E9" s="500" t="s">
        <v>143</v>
      </c>
      <c r="F9" s="501"/>
      <c r="G9" s="502"/>
      <c r="H9" s="135" t="s">
        <v>147</v>
      </c>
    </row>
    <row r="10" spans="1:11" s="29" customFormat="1" ht="15.6" x14ac:dyDescent="0.25">
      <c r="B10" s="66" t="s">
        <v>145</v>
      </c>
      <c r="C10" s="67"/>
      <c r="D10" s="70"/>
      <c r="E10" s="503"/>
      <c r="F10" s="504"/>
      <c r="G10" s="505"/>
      <c r="H10" s="68"/>
    </row>
    <row r="11" spans="1:11" s="29" customFormat="1" ht="15.6" x14ac:dyDescent="0.25">
      <c r="B11" s="61"/>
      <c r="C11" s="61" t="s">
        <v>281</v>
      </c>
      <c r="D11" s="62" t="s">
        <v>103</v>
      </c>
      <c r="E11" s="506"/>
      <c r="F11" s="507"/>
      <c r="G11" s="508"/>
      <c r="H11" s="69"/>
      <c r="I11" s="269"/>
      <c r="J11" s="419"/>
      <c r="K11" s="419"/>
    </row>
    <row r="12" spans="1:11" s="29" customFormat="1" ht="15.6" x14ac:dyDescent="0.25">
      <c r="B12" s="61"/>
      <c r="C12" s="61" t="s">
        <v>282</v>
      </c>
      <c r="D12" s="62" t="s">
        <v>103</v>
      </c>
      <c r="E12" s="506"/>
      <c r="F12" s="507"/>
      <c r="G12" s="508"/>
      <c r="H12" s="69"/>
      <c r="I12" s="269"/>
      <c r="J12" s="419"/>
      <c r="K12" s="419"/>
    </row>
    <row r="13" spans="1:11" s="29" customFormat="1" ht="17.25" customHeight="1" x14ac:dyDescent="0.25">
      <c r="B13" s="61"/>
      <c r="C13" s="61" t="s">
        <v>144</v>
      </c>
      <c r="D13" s="62" t="s">
        <v>103</v>
      </c>
      <c r="E13" s="506"/>
      <c r="F13" s="507"/>
      <c r="G13" s="508"/>
      <c r="H13" s="69"/>
      <c r="I13" s="269"/>
      <c r="J13" s="419"/>
      <c r="K13" s="419"/>
    </row>
    <row r="14" spans="1:11" s="30" customFormat="1" ht="15.6" x14ac:dyDescent="0.25">
      <c r="B14" s="27"/>
      <c r="C14" s="27"/>
      <c r="D14" s="31"/>
      <c r="E14" s="31"/>
      <c r="I14" s="420"/>
      <c r="J14" s="420"/>
      <c r="K14" s="420"/>
    </row>
    <row r="15" spans="1:11" s="29" customFormat="1" ht="15.6" x14ac:dyDescent="0.25">
      <c r="B15" s="136" t="s">
        <v>7</v>
      </c>
      <c r="C15" s="136"/>
      <c r="D15" s="497" t="s">
        <v>29</v>
      </c>
      <c r="E15" s="498"/>
      <c r="F15" s="498"/>
      <c r="G15" s="499"/>
      <c r="H15" s="136" t="s">
        <v>147</v>
      </c>
      <c r="I15" s="419"/>
      <c r="J15" s="419"/>
      <c r="K15" s="419"/>
    </row>
    <row r="16" spans="1:11" s="29" customFormat="1" ht="15.6" x14ac:dyDescent="0.25">
      <c r="B16" s="66" t="s">
        <v>148</v>
      </c>
      <c r="C16" s="67"/>
      <c r="D16" s="494"/>
      <c r="E16" s="495"/>
      <c r="F16" s="495"/>
      <c r="G16" s="496"/>
      <c r="H16" s="68"/>
      <c r="I16" s="419"/>
      <c r="J16" s="419"/>
      <c r="K16" s="419"/>
    </row>
    <row r="17" spans="1:11" s="29" customFormat="1" ht="19.5" customHeight="1" x14ac:dyDescent="0.25">
      <c r="B17" s="61"/>
      <c r="C17" s="61" t="s">
        <v>55</v>
      </c>
      <c r="D17" s="491"/>
      <c r="E17" s="492"/>
      <c r="F17" s="492"/>
      <c r="G17" s="493"/>
      <c r="H17" s="69"/>
      <c r="I17" s="269"/>
      <c r="J17" s="419"/>
      <c r="K17" s="419"/>
    </row>
    <row r="18" spans="1:11" s="3" customFormat="1" x14ac:dyDescent="0.25">
      <c r="B18" s="2"/>
      <c r="C18" s="2"/>
      <c r="D18" s="7"/>
      <c r="E18" s="7"/>
    </row>
    <row r="19" spans="1:11" s="3" customFormat="1" ht="30" x14ac:dyDescent="0.25">
      <c r="A19" s="28" t="s">
        <v>613</v>
      </c>
      <c r="B19" s="1"/>
      <c r="C19" s="2"/>
      <c r="D19" s="7"/>
      <c r="E19" s="7"/>
    </row>
    <row r="20" spans="1:11" s="3" customFormat="1" x14ac:dyDescent="0.25">
      <c r="B20" s="2" t="s">
        <v>1097</v>
      </c>
      <c r="C20" s="2"/>
      <c r="D20" s="7"/>
      <c r="E20" s="7"/>
    </row>
    <row r="21" spans="1:11" s="3" customFormat="1" x14ac:dyDescent="0.25">
      <c r="B21" s="2" t="s">
        <v>579</v>
      </c>
      <c r="C21" s="2"/>
      <c r="D21" s="7"/>
      <c r="E21" s="7"/>
    </row>
    <row r="22" spans="1:11" s="3" customFormat="1" x14ac:dyDescent="0.25">
      <c r="B22" s="2"/>
      <c r="C22" s="2"/>
      <c r="D22" s="7"/>
      <c r="E22" s="7"/>
    </row>
    <row r="23" spans="1:11" s="29" customFormat="1" ht="15.6" x14ac:dyDescent="0.25">
      <c r="B23" s="136" t="s">
        <v>7</v>
      </c>
      <c r="C23" s="136" t="s">
        <v>122</v>
      </c>
      <c r="D23" s="136" t="s">
        <v>3</v>
      </c>
      <c r="E23" s="136" t="s">
        <v>124</v>
      </c>
      <c r="F23" s="136" t="s">
        <v>11</v>
      </c>
      <c r="G23" s="136" t="s">
        <v>15</v>
      </c>
      <c r="H23" s="136" t="s">
        <v>123</v>
      </c>
    </row>
    <row r="24" spans="1:11" s="29" customFormat="1" ht="15.6" x14ac:dyDescent="0.25">
      <c r="B24" s="66" t="s">
        <v>150</v>
      </c>
      <c r="C24" s="67"/>
      <c r="D24" s="70"/>
      <c r="E24" s="68"/>
      <c r="F24" s="68"/>
      <c r="G24" s="68"/>
      <c r="H24" s="68"/>
    </row>
    <row r="25" spans="1:11" s="29" customFormat="1" ht="31.2" x14ac:dyDescent="0.25">
      <c r="B25" s="61"/>
      <c r="C25" s="61" t="s">
        <v>562</v>
      </c>
      <c r="D25" s="62" t="s">
        <v>580</v>
      </c>
      <c r="E25" s="64" t="s">
        <v>167</v>
      </c>
      <c r="F25" s="64"/>
      <c r="G25" s="64"/>
      <c r="H25" s="65"/>
    </row>
    <row r="26" spans="1:11" s="3" customFormat="1" ht="36" customHeight="1" x14ac:dyDescent="0.25">
      <c r="B26" s="61"/>
      <c r="C26" s="61" t="s">
        <v>561</v>
      </c>
      <c r="D26" s="62" t="s">
        <v>560</v>
      </c>
      <c r="E26" s="137" t="s">
        <v>479</v>
      </c>
      <c r="G26" s="160"/>
      <c r="H26" s="160"/>
    </row>
    <row r="27" spans="1:11" s="3" customFormat="1" x14ac:dyDescent="0.25">
      <c r="B27" s="2"/>
      <c r="C27" s="2"/>
      <c r="D27" s="7"/>
      <c r="E27" s="7"/>
    </row>
    <row r="28" spans="1:11" s="3" customFormat="1" ht="30" customHeight="1" x14ac:dyDescent="0.25">
      <c r="A28" s="28" t="s">
        <v>463</v>
      </c>
      <c r="B28" s="26"/>
      <c r="C28" s="2"/>
      <c r="D28" s="7"/>
      <c r="E28" s="7"/>
    </row>
    <row r="29" spans="1:11" s="3" customFormat="1" ht="16.5" customHeight="1" x14ac:dyDescent="0.25">
      <c r="A29" s="28"/>
      <c r="B29" s="161" t="s">
        <v>503</v>
      </c>
      <c r="C29" s="2"/>
      <c r="D29" s="7"/>
      <c r="E29" s="7"/>
    </row>
    <row r="30" spans="1:11" s="3" customFormat="1" x14ac:dyDescent="0.25">
      <c r="B30" s="2" t="s">
        <v>581</v>
      </c>
      <c r="C30" s="2"/>
      <c r="D30" s="7"/>
      <c r="E30" s="7"/>
    </row>
    <row r="31" spans="1:11" s="3" customFormat="1" ht="12.75" customHeight="1" x14ac:dyDescent="0.25">
      <c r="C31" s="2"/>
      <c r="D31" s="7"/>
      <c r="E31" s="7"/>
    </row>
    <row r="32" spans="1:11" ht="13.5" customHeight="1" x14ac:dyDescent="0.25">
      <c r="B32" s="108" t="s">
        <v>7</v>
      </c>
      <c r="C32" s="108" t="s">
        <v>122</v>
      </c>
      <c r="D32" s="108" t="s">
        <v>3</v>
      </c>
      <c r="E32" s="108" t="s">
        <v>124</v>
      </c>
      <c r="F32" s="108" t="s">
        <v>11</v>
      </c>
      <c r="G32" s="108" t="s">
        <v>15</v>
      </c>
      <c r="H32" s="108" t="s">
        <v>123</v>
      </c>
    </row>
    <row r="33" spans="2:8" ht="15.6" x14ac:dyDescent="0.25">
      <c r="B33" s="175" t="s">
        <v>464</v>
      </c>
      <c r="C33" s="75"/>
      <c r="D33" s="76"/>
      <c r="E33" s="77"/>
      <c r="F33" s="77"/>
      <c r="G33" s="77"/>
      <c r="H33" s="77"/>
    </row>
    <row r="34" spans="2:8" ht="137.25" customHeight="1" x14ac:dyDescent="0.25">
      <c r="B34" s="176"/>
      <c r="C34" s="176" t="s">
        <v>465</v>
      </c>
      <c r="D34" s="177" t="s">
        <v>582</v>
      </c>
      <c r="E34" s="178"/>
      <c r="F34" s="178"/>
      <c r="G34" s="178"/>
      <c r="H34" s="178"/>
    </row>
    <row r="35" spans="2:8" ht="17.25" customHeight="1" x14ac:dyDescent="0.25">
      <c r="B35" s="176"/>
      <c r="C35" s="177" t="s">
        <v>125</v>
      </c>
      <c r="D35" s="177"/>
      <c r="E35" s="178"/>
      <c r="F35" s="178"/>
      <c r="G35" s="178"/>
      <c r="H35" s="178"/>
    </row>
  </sheetData>
  <mergeCells count="8">
    <mergeCell ref="D17:G17"/>
    <mergeCell ref="D16:G16"/>
    <mergeCell ref="D15:G15"/>
    <mergeCell ref="E9:G9"/>
    <mergeCell ref="E10:G10"/>
    <mergeCell ref="E11:G11"/>
    <mergeCell ref="E12:G12"/>
    <mergeCell ref="E13:G13"/>
  </mergeCells>
  <dataValidations count="2">
    <dataValidation type="list" allowBlank="1" showInputMessage="1" showErrorMessage="1" sqref="D17:G17">
      <formula1>UsageOutcome</formula1>
    </dataValidation>
    <dataValidation type="list" allowBlank="1" showInputMessage="1" showErrorMessage="1" sqref="D11:D13">
      <formula1>Approval</formula1>
    </dataValidation>
  </dataValidations>
  <pageMargins left="0.23622047244094491" right="0.23622047244094491" top="0.27" bottom="0.28000000000000003" header="0.18" footer="0.17"/>
  <pageSetup paperSize="9" scale="4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8"/>
  <sheetViews>
    <sheetView zoomScale="90" zoomScaleNormal="90" workbookViewId="0">
      <selection activeCell="D1" sqref="D1"/>
    </sheetView>
  </sheetViews>
  <sheetFormatPr defaultColWidth="9.109375" defaultRowHeight="13.2" x14ac:dyDescent="0.25"/>
  <cols>
    <col min="1" max="1" width="1.6640625" style="5" customWidth="1"/>
    <col min="2" max="2" width="19.6640625" style="6" customWidth="1"/>
    <col min="3" max="3" width="28" style="6" customWidth="1"/>
    <col min="4" max="4" width="75.88671875" style="7" customWidth="1"/>
    <col min="5" max="5" width="21" style="5" customWidth="1"/>
    <col min="6" max="6" width="20.88671875" style="5" customWidth="1"/>
    <col min="7" max="7" width="21" style="5" customWidth="1"/>
    <col min="8" max="8" width="13.6640625" style="5" customWidth="1"/>
    <col min="9" max="9" width="7.6640625" style="5" customWidth="1"/>
    <col min="10" max="16384" width="9.109375" style="5"/>
  </cols>
  <sheetData>
    <row r="1" spans="1:9" s="3" customFormat="1" ht="17.399999999999999" x14ac:dyDescent="0.25">
      <c r="A1" s="1" t="s">
        <v>284</v>
      </c>
      <c r="B1" s="1"/>
      <c r="C1" s="2"/>
      <c r="D1" s="443" t="s">
        <v>1098</v>
      </c>
    </row>
    <row r="2" spans="1:9" s="3" customFormat="1" ht="12.75" customHeight="1" x14ac:dyDescent="0.25">
      <c r="A2" s="1"/>
      <c r="B2" s="1"/>
      <c r="C2" s="2"/>
      <c r="D2" s="4"/>
    </row>
    <row r="3" spans="1:9" s="3" customFormat="1" x14ac:dyDescent="0.25">
      <c r="B3" s="2" t="s">
        <v>90</v>
      </c>
      <c r="C3" s="2"/>
      <c r="D3" s="4"/>
    </row>
    <row r="4" spans="1:9" s="3" customFormat="1" x14ac:dyDescent="0.25">
      <c r="B4" s="2" t="s">
        <v>91</v>
      </c>
      <c r="C4" s="2"/>
      <c r="D4" s="4"/>
    </row>
    <row r="5" spans="1:9" s="3" customFormat="1" x14ac:dyDescent="0.25">
      <c r="B5" s="2" t="s">
        <v>92</v>
      </c>
      <c r="C5" s="2"/>
      <c r="D5" s="4"/>
    </row>
    <row r="7" spans="1:9" x14ac:dyDescent="0.25">
      <c r="B7" s="84" t="s">
        <v>7</v>
      </c>
      <c r="C7" s="84" t="s">
        <v>1</v>
      </c>
      <c r="D7" s="84" t="s">
        <v>3</v>
      </c>
      <c r="E7" s="84" t="s">
        <v>11</v>
      </c>
      <c r="F7" s="84" t="s">
        <v>15</v>
      </c>
      <c r="G7" s="84" t="s">
        <v>12</v>
      </c>
      <c r="H7" s="84" t="s">
        <v>13</v>
      </c>
      <c r="I7" s="84" t="s">
        <v>10</v>
      </c>
    </row>
    <row r="8" spans="1:9" x14ac:dyDescent="0.25">
      <c r="B8" s="163" t="s">
        <v>454</v>
      </c>
      <c r="C8" s="75"/>
      <c r="D8" s="76"/>
      <c r="E8" s="77"/>
      <c r="F8" s="77"/>
      <c r="G8" s="77"/>
      <c r="H8" s="77"/>
      <c r="I8" s="77"/>
    </row>
    <row r="9" spans="1:9" ht="30.75" customHeight="1" x14ac:dyDescent="0.25">
      <c r="B9" s="78"/>
      <c r="C9" s="78" t="s">
        <v>460</v>
      </c>
      <c r="D9" s="79" t="s">
        <v>1000</v>
      </c>
      <c r="E9" s="80"/>
      <c r="F9" s="80"/>
      <c r="G9" s="80"/>
      <c r="H9" s="80"/>
      <c r="I9" s="8" t="s">
        <v>9</v>
      </c>
    </row>
    <row r="10" spans="1:9" x14ac:dyDescent="0.25">
      <c r="B10" s="78"/>
      <c r="C10" s="78" t="s">
        <v>27</v>
      </c>
      <c r="D10" s="79" t="s">
        <v>1001</v>
      </c>
      <c r="E10" s="80"/>
      <c r="F10" s="80"/>
      <c r="G10" s="80"/>
      <c r="H10" s="92"/>
      <c r="I10" s="8" t="s">
        <v>9</v>
      </c>
    </row>
    <row r="11" spans="1:9" x14ac:dyDescent="0.25">
      <c r="B11" s="78"/>
      <c r="C11" s="78" t="s">
        <v>14</v>
      </c>
      <c r="D11" s="79" t="s">
        <v>1002</v>
      </c>
      <c r="E11" s="80"/>
      <c r="F11" s="80"/>
      <c r="G11" s="80"/>
      <c r="H11" s="93"/>
      <c r="I11" s="8" t="s">
        <v>9</v>
      </c>
    </row>
    <row r="12" spans="1:9" x14ac:dyDescent="0.25">
      <c r="B12" s="78"/>
      <c r="C12" s="78" t="s">
        <v>16</v>
      </c>
      <c r="D12" s="79" t="s">
        <v>1003</v>
      </c>
      <c r="E12" s="80"/>
      <c r="F12" s="80"/>
      <c r="G12" s="80"/>
      <c r="H12" s="93"/>
      <c r="I12" s="8" t="s">
        <v>9</v>
      </c>
    </row>
    <row r="13" spans="1:9" x14ac:dyDescent="0.25">
      <c r="B13" s="78"/>
      <c r="C13" s="78" t="s">
        <v>21</v>
      </c>
      <c r="D13" s="79" t="s">
        <v>1004</v>
      </c>
      <c r="E13" s="80"/>
      <c r="F13" s="80"/>
      <c r="G13" s="80"/>
      <c r="H13" s="93"/>
      <c r="I13" s="8" t="s">
        <v>9</v>
      </c>
    </row>
    <row r="14" spans="1:9" ht="30.75" customHeight="1" x14ac:dyDescent="0.25">
      <c r="B14" s="78"/>
      <c r="C14" s="78" t="s">
        <v>20</v>
      </c>
      <c r="D14" s="79" t="s">
        <v>283</v>
      </c>
      <c r="E14" s="80"/>
      <c r="F14" s="80"/>
      <c r="G14" s="80"/>
      <c r="H14" s="93"/>
      <c r="I14" s="8" t="s">
        <v>9</v>
      </c>
    </row>
    <row r="15" spans="1:9" x14ac:dyDescent="0.25">
      <c r="B15" s="78"/>
      <c r="C15" s="78" t="s">
        <v>19</v>
      </c>
      <c r="D15" s="79" t="s">
        <v>1005</v>
      </c>
      <c r="E15" s="80"/>
      <c r="F15" s="80"/>
      <c r="G15" s="80"/>
      <c r="H15" s="93"/>
      <c r="I15" s="8" t="s">
        <v>9</v>
      </c>
    </row>
    <row r="16" spans="1:9" ht="30.75" customHeight="1" x14ac:dyDescent="0.25">
      <c r="B16" s="78"/>
      <c r="C16" s="78" t="s">
        <v>22</v>
      </c>
      <c r="D16" s="79" t="s">
        <v>1006</v>
      </c>
      <c r="E16" s="80"/>
      <c r="F16" s="80"/>
      <c r="G16" s="80"/>
      <c r="H16" s="93"/>
      <c r="I16" s="8" t="s">
        <v>9</v>
      </c>
    </row>
    <row r="17" spans="2:9" ht="40.5" customHeight="1" x14ac:dyDescent="0.25">
      <c r="B17" s="78"/>
      <c r="C17" s="78" t="s">
        <v>23</v>
      </c>
      <c r="D17" s="79" t="s">
        <v>1007</v>
      </c>
      <c r="E17" s="80"/>
      <c r="F17" s="80"/>
      <c r="G17" s="80"/>
      <c r="H17" s="93"/>
      <c r="I17" s="8" t="s">
        <v>9</v>
      </c>
    </row>
    <row r="18" spans="2:9" x14ac:dyDescent="0.25">
      <c r="B18" s="78"/>
      <c r="C18" s="78" t="s">
        <v>519</v>
      </c>
      <c r="D18" s="79" t="s">
        <v>1008</v>
      </c>
      <c r="E18" s="80"/>
      <c r="F18" s="80"/>
      <c r="G18" s="80"/>
      <c r="H18" s="93"/>
      <c r="I18" s="8" t="s">
        <v>9</v>
      </c>
    </row>
    <row r="19" spans="2:9" x14ac:dyDescent="0.25">
      <c r="B19" s="101" t="s">
        <v>614</v>
      </c>
      <c r="C19" s="71"/>
      <c r="D19" s="72"/>
      <c r="E19" s="73"/>
      <c r="F19" s="73"/>
      <c r="G19" s="73"/>
      <c r="H19" s="73"/>
      <c r="I19" s="73"/>
    </row>
    <row r="20" spans="2:9" x14ac:dyDescent="0.25">
      <c r="B20" s="81"/>
      <c r="C20" s="81" t="s">
        <v>6</v>
      </c>
      <c r="D20" s="82" t="s">
        <v>1009</v>
      </c>
      <c r="E20" s="83"/>
      <c r="F20" s="83"/>
      <c r="G20" s="83"/>
      <c r="H20" s="94"/>
      <c r="I20" s="8" t="s">
        <v>9</v>
      </c>
    </row>
    <row r="21" spans="2:9" x14ac:dyDescent="0.25">
      <c r="B21" s="81"/>
      <c r="C21" s="81" t="s">
        <v>14</v>
      </c>
      <c r="D21" s="82" t="s">
        <v>1010</v>
      </c>
      <c r="E21" s="83"/>
      <c r="F21" s="83"/>
      <c r="G21" s="83"/>
      <c r="H21" s="94"/>
      <c r="I21" s="8" t="s">
        <v>9</v>
      </c>
    </row>
    <row r="22" spans="2:9" x14ac:dyDescent="0.25">
      <c r="B22" s="81"/>
      <c r="C22" s="81" t="s">
        <v>31</v>
      </c>
      <c r="D22" s="82" t="s">
        <v>1011</v>
      </c>
      <c r="E22" s="83"/>
      <c r="F22" s="83"/>
      <c r="G22" s="83"/>
      <c r="H22" s="94"/>
      <c r="I22" s="8" t="s">
        <v>9</v>
      </c>
    </row>
    <row r="23" spans="2:9" x14ac:dyDescent="0.25">
      <c r="B23" s="81"/>
      <c r="C23" s="81" t="s">
        <v>32</v>
      </c>
      <c r="D23" s="82" t="s">
        <v>1012</v>
      </c>
      <c r="E23" s="83"/>
      <c r="F23" s="83"/>
      <c r="G23" s="83"/>
      <c r="H23" s="94"/>
      <c r="I23" s="8" t="s">
        <v>9</v>
      </c>
    </row>
    <row r="24" spans="2:9" ht="40.5" customHeight="1" x14ac:dyDescent="0.25">
      <c r="B24" s="81"/>
      <c r="C24" s="81" t="s">
        <v>23</v>
      </c>
      <c r="D24" s="82" t="s">
        <v>1013</v>
      </c>
      <c r="E24" s="83"/>
      <c r="F24" s="83"/>
      <c r="G24" s="83"/>
      <c r="H24" s="94"/>
      <c r="I24" s="8" t="s">
        <v>9</v>
      </c>
    </row>
    <row r="25" spans="2:9" ht="30.75" customHeight="1" x14ac:dyDescent="0.25">
      <c r="B25" s="81"/>
      <c r="C25" s="81" t="s">
        <v>521</v>
      </c>
      <c r="D25" s="82" t="s">
        <v>1008</v>
      </c>
      <c r="E25" s="83"/>
      <c r="F25" s="83"/>
      <c r="G25" s="83"/>
      <c r="H25" s="94"/>
      <c r="I25" s="8" t="s">
        <v>9</v>
      </c>
    </row>
    <row r="26" spans="2:9" x14ac:dyDescent="0.25">
      <c r="B26" s="101" t="s">
        <v>33</v>
      </c>
      <c r="C26" s="102"/>
      <c r="D26" s="103" t="s">
        <v>26</v>
      </c>
      <c r="E26" s="104"/>
      <c r="F26" s="104"/>
      <c r="G26" s="104"/>
      <c r="H26" s="105"/>
      <c r="I26" s="104"/>
    </row>
    <row r="27" spans="2:9" x14ac:dyDescent="0.25">
      <c r="B27" s="81"/>
      <c r="C27" s="81" t="s">
        <v>25</v>
      </c>
      <c r="D27" s="82" t="s">
        <v>1009</v>
      </c>
      <c r="E27" s="83"/>
      <c r="F27" s="83"/>
      <c r="G27" s="83"/>
      <c r="H27" s="94"/>
      <c r="I27" s="8" t="s">
        <v>9</v>
      </c>
    </row>
    <row r="28" spans="2:9" x14ac:dyDescent="0.25">
      <c r="B28" s="81"/>
      <c r="C28" s="81" t="s">
        <v>34</v>
      </c>
      <c r="D28" s="82" t="s">
        <v>1010</v>
      </c>
      <c r="E28" s="83"/>
      <c r="F28" s="83"/>
      <c r="G28" s="83"/>
      <c r="H28" s="94"/>
      <c r="I28" s="8" t="s">
        <v>9</v>
      </c>
    </row>
    <row r="29" spans="2:9" x14ac:dyDescent="0.25">
      <c r="B29" s="81"/>
      <c r="C29" s="81" t="s">
        <v>35</v>
      </c>
      <c r="D29" s="82" t="s">
        <v>1011</v>
      </c>
      <c r="E29" s="83"/>
      <c r="F29" s="83"/>
      <c r="G29" s="83"/>
      <c r="H29" s="94"/>
      <c r="I29" s="8" t="s">
        <v>9</v>
      </c>
    </row>
    <row r="30" spans="2:9" x14ac:dyDescent="0.25">
      <c r="B30" s="81"/>
      <c r="C30" s="81" t="s">
        <v>36</v>
      </c>
      <c r="D30" s="82" t="s">
        <v>1012</v>
      </c>
      <c r="E30" s="83"/>
      <c r="F30" s="83"/>
      <c r="G30" s="83"/>
      <c r="H30" s="94"/>
      <c r="I30" s="8" t="s">
        <v>9</v>
      </c>
    </row>
    <row r="31" spans="2:9" ht="40.5" customHeight="1" x14ac:dyDescent="0.25">
      <c r="B31" s="81"/>
      <c r="C31" s="81" t="s">
        <v>23</v>
      </c>
      <c r="D31" s="82" t="s">
        <v>1013</v>
      </c>
      <c r="E31" s="83"/>
      <c r="F31" s="83"/>
      <c r="G31" s="83"/>
      <c r="H31" s="94"/>
      <c r="I31" s="8" t="s">
        <v>9</v>
      </c>
    </row>
    <row r="32" spans="2:9" ht="26.4" x14ac:dyDescent="0.25">
      <c r="B32" s="106" t="s">
        <v>151</v>
      </c>
      <c r="C32" s="85"/>
      <c r="D32" s="86"/>
      <c r="E32" s="87"/>
      <c r="F32" s="87"/>
      <c r="G32" s="87"/>
      <c r="H32" s="95"/>
      <c r="I32" s="87"/>
    </row>
    <row r="33" spans="2:9" ht="30.75" customHeight="1" x14ac:dyDescent="0.25">
      <c r="B33" s="88"/>
      <c r="C33" s="88" t="s">
        <v>152</v>
      </c>
      <c r="D33" s="89" t="s">
        <v>1014</v>
      </c>
      <c r="E33" s="96"/>
      <c r="F33" s="90"/>
      <c r="G33" s="97"/>
      <c r="H33" s="91"/>
      <c r="I33" s="8" t="s">
        <v>9</v>
      </c>
    </row>
    <row r="34" spans="2:9" ht="30.75" customHeight="1" x14ac:dyDescent="0.25">
      <c r="B34" s="88"/>
      <c r="C34" s="88" t="s">
        <v>153</v>
      </c>
      <c r="D34" s="89" t="s">
        <v>1015</v>
      </c>
      <c r="E34" s="90"/>
      <c r="F34" s="90"/>
      <c r="G34" s="90"/>
      <c r="H34" s="91"/>
      <c r="I34" s="8" t="s">
        <v>9</v>
      </c>
    </row>
    <row r="35" spans="2:9" ht="30.75" customHeight="1" x14ac:dyDescent="0.25">
      <c r="B35" s="88"/>
      <c r="C35" s="88" t="s">
        <v>520</v>
      </c>
      <c r="D35" s="89" t="s">
        <v>1016</v>
      </c>
      <c r="E35" s="96"/>
      <c r="F35" s="90"/>
      <c r="G35" s="97"/>
      <c r="H35" s="91"/>
      <c r="I35" s="8" t="s">
        <v>9</v>
      </c>
    </row>
    <row r="36" spans="2:9" x14ac:dyDescent="0.25">
      <c r="B36" s="88"/>
      <c r="C36" s="88" t="s">
        <v>616</v>
      </c>
      <c r="D36" s="89" t="s">
        <v>1017</v>
      </c>
      <c r="E36" s="90"/>
      <c r="F36" s="90"/>
      <c r="G36" s="90"/>
      <c r="H36" s="91"/>
      <c r="I36" s="8" t="s">
        <v>9</v>
      </c>
    </row>
    <row r="37" spans="2:9" x14ac:dyDescent="0.25">
      <c r="B37" s="98" t="s">
        <v>17</v>
      </c>
      <c r="C37" s="98"/>
      <c r="D37" s="38"/>
      <c r="E37" s="33"/>
      <c r="F37" s="33"/>
      <c r="G37" s="33"/>
      <c r="H37" s="39"/>
      <c r="I37" s="8"/>
    </row>
    <row r="38" spans="2:9" x14ac:dyDescent="0.25">
      <c r="B38" s="98"/>
      <c r="C38" s="99" t="s">
        <v>18</v>
      </c>
      <c r="D38" s="38" t="s">
        <v>1018</v>
      </c>
      <c r="E38" s="33"/>
      <c r="F38" s="33"/>
      <c r="G38" s="33"/>
      <c r="H38" s="39"/>
      <c r="I38" s="8" t="s">
        <v>9</v>
      </c>
    </row>
  </sheetData>
  <phoneticPr fontId="2" type="noConversion"/>
  <hyperlinks>
    <hyperlink ref="D1" location="Introduction!A1" display="Back to introduction"/>
  </hyperlinks>
  <pageMargins left="0.74803149606299213" right="0.74803149606299213" top="0.98425196850393704" bottom="0.98425196850393704" header="0.51181102362204722" footer="0.51181102362204722"/>
  <pageSetup paperSize="8" scale="8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7"/>
  <sheetViews>
    <sheetView zoomScale="90" zoomScaleNormal="90" workbookViewId="0">
      <selection activeCell="D1" sqref="D1"/>
    </sheetView>
  </sheetViews>
  <sheetFormatPr defaultColWidth="9.109375" defaultRowHeight="13.2" x14ac:dyDescent="0.25"/>
  <cols>
    <col min="1" max="1" width="1.6640625" style="5" customWidth="1"/>
    <col min="2" max="2" width="24.109375" style="6" customWidth="1"/>
    <col min="3" max="3" width="35.109375" style="6" customWidth="1"/>
    <col min="4" max="4" width="81.5546875" style="7" customWidth="1"/>
    <col min="5" max="5" width="56.88671875" style="5" customWidth="1"/>
    <col min="6" max="6" width="7.6640625" style="5" customWidth="1"/>
    <col min="7" max="16384" width="9.109375" style="5"/>
  </cols>
  <sheetData>
    <row r="1" spans="1:6" s="3" customFormat="1" ht="17.399999999999999" x14ac:dyDescent="0.25">
      <c r="A1" s="261" t="s">
        <v>585</v>
      </c>
      <c r="B1" s="261"/>
      <c r="C1" s="262"/>
      <c r="D1" s="443" t="s">
        <v>1098</v>
      </c>
      <c r="E1" s="264"/>
      <c r="F1" s="264"/>
    </row>
    <row r="2" spans="1:6" s="3" customFormat="1" ht="8.25" customHeight="1" x14ac:dyDescent="0.25">
      <c r="A2" s="261"/>
      <c r="B2" s="261"/>
      <c r="C2" s="262"/>
      <c r="D2" s="263"/>
      <c r="E2" s="264"/>
      <c r="F2" s="264"/>
    </row>
    <row r="3" spans="1:6" s="3" customFormat="1" x14ac:dyDescent="0.25">
      <c r="A3" s="264"/>
      <c r="B3" s="262" t="s">
        <v>615</v>
      </c>
      <c r="C3" s="262"/>
      <c r="D3" s="263"/>
      <c r="E3" s="265"/>
      <c r="F3" s="264"/>
    </row>
    <row r="4" spans="1:6" x14ac:dyDescent="0.25">
      <c r="A4" s="266"/>
      <c r="B4" s="267"/>
      <c r="C4" s="267"/>
      <c r="D4" s="268"/>
      <c r="E4" s="266"/>
      <c r="F4" s="266"/>
    </row>
    <row r="5" spans="1:6" x14ac:dyDescent="0.25">
      <c r="B5" s="84" t="s">
        <v>7</v>
      </c>
      <c r="C5" s="84" t="s">
        <v>1</v>
      </c>
      <c r="D5" s="84" t="s">
        <v>3</v>
      </c>
      <c r="E5" s="84" t="s">
        <v>2</v>
      </c>
      <c r="F5" s="84" t="s">
        <v>10</v>
      </c>
    </row>
    <row r="6" spans="1:6" x14ac:dyDescent="0.25">
      <c r="B6" s="102" t="s">
        <v>84</v>
      </c>
      <c r="C6" s="102"/>
      <c r="D6" s="107" t="s">
        <v>586</v>
      </c>
      <c r="E6" s="104"/>
      <c r="F6" s="104"/>
    </row>
    <row r="7" spans="1:6" x14ac:dyDescent="0.25">
      <c r="B7" s="81"/>
      <c r="C7" s="81" t="s">
        <v>5</v>
      </c>
      <c r="D7" s="82" t="s">
        <v>1019</v>
      </c>
      <c r="E7" s="83"/>
      <c r="F7" s="8" t="s">
        <v>9</v>
      </c>
    </row>
    <row r="8" spans="1:6" x14ac:dyDescent="0.25">
      <c r="B8" s="81"/>
      <c r="C8" s="81" t="s">
        <v>570</v>
      </c>
      <c r="D8" s="82" t="s">
        <v>1020</v>
      </c>
      <c r="E8" s="83"/>
      <c r="F8" s="8" t="s">
        <v>9</v>
      </c>
    </row>
    <row r="9" spans="1:6" ht="12.75" customHeight="1" x14ac:dyDescent="0.25">
      <c r="B9" s="81"/>
      <c r="C9" s="81" t="s">
        <v>623</v>
      </c>
      <c r="D9" s="100" t="s">
        <v>1022</v>
      </c>
      <c r="E9" s="172"/>
      <c r="F9" s="8" t="s">
        <v>55</v>
      </c>
    </row>
    <row r="10" spans="1:6" x14ac:dyDescent="0.25">
      <c r="B10" s="81"/>
      <c r="C10" s="81" t="s">
        <v>622</v>
      </c>
      <c r="D10" s="82" t="s">
        <v>1021</v>
      </c>
      <c r="E10" s="83"/>
      <c r="F10" s="8" t="s">
        <v>9</v>
      </c>
    </row>
    <row r="11" spans="1:6" ht="30.75" customHeight="1" x14ac:dyDescent="0.25">
      <c r="B11" s="81"/>
      <c r="C11" s="81" t="s">
        <v>0</v>
      </c>
      <c r="D11" s="82" t="s">
        <v>1024</v>
      </c>
      <c r="E11" s="83"/>
      <c r="F11" s="8" t="s">
        <v>9</v>
      </c>
    </row>
    <row r="12" spans="1:6" ht="30.75" customHeight="1" x14ac:dyDescent="0.25">
      <c r="B12" s="81"/>
      <c r="C12" s="81" t="s">
        <v>621</v>
      </c>
      <c r="D12" s="82" t="s">
        <v>1023</v>
      </c>
      <c r="E12" s="83"/>
      <c r="F12" s="8" t="s">
        <v>9</v>
      </c>
    </row>
    <row r="13" spans="1:6" ht="26.4" x14ac:dyDescent="0.25">
      <c r="B13" s="101" t="s">
        <v>753</v>
      </c>
      <c r="C13" s="102"/>
      <c r="D13" s="107" t="s">
        <v>754</v>
      </c>
      <c r="E13" s="104"/>
      <c r="F13" s="104"/>
    </row>
    <row r="14" spans="1:6" ht="26.4" x14ac:dyDescent="0.25">
      <c r="B14" s="81"/>
      <c r="C14" s="81" t="s">
        <v>232</v>
      </c>
      <c r="D14" s="82" t="s">
        <v>1025</v>
      </c>
      <c r="E14" s="308"/>
      <c r="F14" s="8" t="s">
        <v>55</v>
      </c>
    </row>
    <row r="15" spans="1:6" x14ac:dyDescent="0.25">
      <c r="B15" s="81"/>
      <c r="C15" s="81" t="s">
        <v>138</v>
      </c>
      <c r="D15" s="82" t="s">
        <v>1026</v>
      </c>
      <c r="E15" s="309"/>
      <c r="F15" s="8" t="s">
        <v>55</v>
      </c>
    </row>
    <row r="16" spans="1:6" x14ac:dyDescent="0.25">
      <c r="B16" s="81"/>
      <c r="C16" s="81" t="s">
        <v>139</v>
      </c>
      <c r="D16" s="82" t="s">
        <v>1027</v>
      </c>
      <c r="E16" s="310"/>
      <c r="F16" s="8" t="s">
        <v>55</v>
      </c>
    </row>
    <row r="17" spans="2:7" x14ac:dyDescent="0.25">
      <c r="B17" s="81"/>
      <c r="C17" s="81" t="s">
        <v>140</v>
      </c>
      <c r="D17" s="82" t="s">
        <v>1028</v>
      </c>
      <c r="E17" s="310"/>
      <c r="F17" s="8" t="s">
        <v>55</v>
      </c>
    </row>
    <row r="18" spans="2:7" x14ac:dyDescent="0.25">
      <c r="B18" s="81"/>
      <c r="C18" s="81" t="s">
        <v>245</v>
      </c>
      <c r="D18" s="82" t="s">
        <v>1029</v>
      </c>
      <c r="E18" s="311"/>
      <c r="F18" s="8" t="s">
        <v>55</v>
      </c>
    </row>
    <row r="19" spans="2:7" ht="39.6" x14ac:dyDescent="0.25">
      <c r="B19" s="101" t="s">
        <v>755</v>
      </c>
      <c r="C19" s="102"/>
      <c r="D19" s="107" t="s">
        <v>756</v>
      </c>
      <c r="E19" s="104"/>
      <c r="F19" s="104"/>
    </row>
    <row r="20" spans="2:7" ht="26.4" x14ac:dyDescent="0.25">
      <c r="B20" s="81"/>
      <c r="C20" s="81" t="s">
        <v>757</v>
      </c>
      <c r="D20" s="82" t="s">
        <v>1026</v>
      </c>
      <c r="E20" s="83"/>
      <c r="F20" s="8" t="s">
        <v>55</v>
      </c>
      <c r="G20" s="265"/>
    </row>
    <row r="21" spans="2:7" x14ac:dyDescent="0.25">
      <c r="B21" s="81"/>
      <c r="C21" s="81" t="s">
        <v>758</v>
      </c>
      <c r="D21" s="82" t="s">
        <v>1030</v>
      </c>
      <c r="E21" s="312"/>
      <c r="F21" s="8" t="s">
        <v>55</v>
      </c>
    </row>
    <row r="22" spans="2:7" x14ac:dyDescent="0.25">
      <c r="B22" s="101" t="s">
        <v>100</v>
      </c>
      <c r="C22" s="102"/>
      <c r="D22" s="107" t="s">
        <v>141</v>
      </c>
      <c r="E22" s="104"/>
      <c r="F22" s="104"/>
    </row>
    <row r="23" spans="2:7" ht="30.75" customHeight="1" x14ac:dyDescent="0.25">
      <c r="B23" s="81"/>
      <c r="C23" s="81" t="s">
        <v>620</v>
      </c>
      <c r="D23" s="82" t="s">
        <v>1031</v>
      </c>
      <c r="E23" s="83"/>
      <c r="F23" s="8" t="s">
        <v>55</v>
      </c>
    </row>
    <row r="24" spans="2:7" ht="30.75" customHeight="1" x14ac:dyDescent="0.25">
      <c r="B24" s="81"/>
      <c r="C24" s="81" t="s">
        <v>136</v>
      </c>
      <c r="D24" s="82" t="s">
        <v>1032</v>
      </c>
      <c r="E24" s="83"/>
      <c r="F24" s="8" t="s">
        <v>55</v>
      </c>
    </row>
    <row r="25" spans="2:7" ht="40.5" customHeight="1" x14ac:dyDescent="0.25">
      <c r="B25" s="81"/>
      <c r="C25" s="81" t="s">
        <v>137</v>
      </c>
      <c r="D25" s="82" t="s">
        <v>1033</v>
      </c>
      <c r="E25" s="83"/>
      <c r="F25" s="8" t="s">
        <v>55</v>
      </c>
    </row>
    <row r="26" spans="2:7" ht="30.75" customHeight="1" x14ac:dyDescent="0.25">
      <c r="B26" s="81"/>
      <c r="C26" s="81" t="s">
        <v>619</v>
      </c>
      <c r="D26" s="82" t="s">
        <v>1034</v>
      </c>
      <c r="E26" s="83"/>
      <c r="F26" s="8" t="s">
        <v>55</v>
      </c>
    </row>
    <row r="27" spans="2:7" ht="30.75" customHeight="1" x14ac:dyDescent="0.25">
      <c r="B27" s="81"/>
      <c r="C27" s="81" t="s">
        <v>618</v>
      </c>
      <c r="D27" s="82" t="s">
        <v>883</v>
      </c>
      <c r="E27" s="83"/>
      <c r="F27" s="8" t="s">
        <v>9</v>
      </c>
    </row>
    <row r="37" ht="12" customHeight="1" x14ac:dyDescent="0.25"/>
  </sheetData>
  <phoneticPr fontId="2" type="noConversion"/>
  <conditionalFormatting sqref="E18">
    <cfRule type="containsText" dxfId="204" priority="2" operator="containsText" text="NYK">
      <formula>NOT(ISERROR(SEARCH("NYK",E18)))</formula>
    </cfRule>
  </conditionalFormatting>
  <conditionalFormatting sqref="E15">
    <cfRule type="containsText" dxfId="203" priority="1" operator="containsText" text="NYA">
      <formula>NOT(ISERROR(SEARCH("NYA",E15)))</formula>
    </cfRule>
  </conditionalFormatting>
  <dataValidations count="2">
    <dataValidation type="list" allowBlank="1" showInputMessage="1" showErrorMessage="1" promptTitle="IGT grade" prompt="Select ..." sqref="E18">
      <formula1>IGTResult</formula1>
    </dataValidation>
    <dataValidation type="list" allowBlank="1" showInputMessage="1" showErrorMessage="1" sqref="E20">
      <formula1>$B$15:$B$34</formula1>
    </dataValidation>
  </dataValidations>
  <hyperlinks>
    <hyperlink ref="D1" location="Introduction!A1" display="Back to introduction"/>
  </hyperlinks>
  <pageMargins left="0.75" right="0.75" top="1" bottom="1" header="0.5" footer="0.5"/>
  <pageSetup paperSize="8" scale="97" fitToHeight="5" orientation="landscape"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promptTitle="Org Type" prompt="Select ...">
          <x14:formula1>
            <xm:f>Lists!$B$14:$B$37</xm:f>
          </x14:formula1>
          <xm:sqref>E15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78"/>
  <sheetViews>
    <sheetView zoomScale="90" zoomScaleNormal="90" workbookViewId="0">
      <pane ySplit="7" topLeftCell="A8" activePane="bottomLeft" state="frozen"/>
      <selection pane="bottomLeft" activeCell="C1" sqref="C1"/>
    </sheetView>
  </sheetViews>
  <sheetFormatPr defaultColWidth="9.109375" defaultRowHeight="13.2" x14ac:dyDescent="0.25"/>
  <cols>
    <col min="1" max="1" width="4.6640625" style="6" customWidth="1"/>
    <col min="2" max="2" width="36.6640625" style="6" customWidth="1"/>
    <col min="3" max="3" width="50.6640625" style="7" customWidth="1"/>
    <col min="4" max="4" width="16.6640625" style="53" customWidth="1"/>
    <col min="5" max="5" width="75.6640625" style="53" customWidth="1"/>
    <col min="6" max="6" width="8.6640625" style="56" customWidth="1"/>
    <col min="7" max="16384" width="9.109375" style="5"/>
  </cols>
  <sheetData>
    <row r="1" spans="1:12" s="3" customFormat="1" ht="17.399999999999999" x14ac:dyDescent="0.25">
      <c r="A1" s="1" t="s">
        <v>329</v>
      </c>
      <c r="B1" s="2"/>
      <c r="C1" s="443" t="s">
        <v>1098</v>
      </c>
      <c r="D1" s="138"/>
      <c r="E1" s="1"/>
      <c r="F1" s="54"/>
      <c r="G1" s="264"/>
      <c r="H1" s="264"/>
      <c r="I1" s="264"/>
      <c r="J1" s="264"/>
      <c r="K1" s="264"/>
      <c r="L1" s="264"/>
    </row>
    <row r="2" spans="1:12" s="3" customFormat="1" ht="5.0999999999999996" customHeight="1" x14ac:dyDescent="0.25">
      <c r="A2" s="1"/>
      <c r="B2" s="2"/>
      <c r="C2" s="4"/>
      <c r="D2" s="53"/>
      <c r="E2" s="53"/>
      <c r="F2" s="54"/>
      <c r="G2" s="264"/>
      <c r="H2" s="264"/>
      <c r="I2" s="264"/>
      <c r="J2" s="264"/>
      <c r="K2" s="264"/>
      <c r="L2" s="264"/>
    </row>
    <row r="3" spans="1:12" s="3" customFormat="1" x14ac:dyDescent="0.25">
      <c r="A3" s="55" t="s">
        <v>571</v>
      </c>
      <c r="B3" s="2"/>
      <c r="C3" s="4"/>
      <c r="D3" s="53"/>
      <c r="E3" s="139"/>
      <c r="F3" s="54"/>
      <c r="G3" s="264"/>
      <c r="H3" s="264"/>
      <c r="I3" s="264"/>
      <c r="J3" s="264"/>
      <c r="K3" s="264"/>
      <c r="L3" s="264"/>
    </row>
    <row r="4" spans="1:12" s="3" customFormat="1" x14ac:dyDescent="0.25">
      <c r="A4" s="55" t="s">
        <v>724</v>
      </c>
      <c r="B4" s="2"/>
      <c r="C4" s="4"/>
      <c r="D4" s="53"/>
      <c r="E4" s="294"/>
      <c r="F4" s="54"/>
      <c r="G4" s="264"/>
      <c r="H4" s="264"/>
      <c r="I4" s="264"/>
      <c r="J4" s="264"/>
      <c r="K4" s="264"/>
      <c r="L4" s="264"/>
    </row>
    <row r="5" spans="1:12" s="3" customFormat="1" ht="14.25" customHeight="1" x14ac:dyDescent="0.25">
      <c r="A5" s="55" t="s">
        <v>572</v>
      </c>
      <c r="B5" s="2"/>
      <c r="C5" s="4"/>
      <c r="D5" s="53"/>
      <c r="E5" s="53"/>
      <c r="F5" s="54"/>
      <c r="G5" s="264"/>
      <c r="H5" s="264"/>
      <c r="I5" s="264"/>
      <c r="J5" s="264"/>
      <c r="K5" s="264"/>
      <c r="L5" s="264"/>
    </row>
    <row r="6" spans="1:12" s="3" customFormat="1" ht="14.25" customHeight="1" x14ac:dyDescent="0.25">
      <c r="A6" s="1"/>
      <c r="B6" s="2"/>
      <c r="C6" s="4"/>
      <c r="D6" s="53"/>
      <c r="E6" s="53"/>
      <c r="F6" s="54"/>
      <c r="G6" s="264"/>
      <c r="H6" s="264"/>
      <c r="I6" s="264"/>
      <c r="J6" s="264"/>
      <c r="K6" s="264"/>
      <c r="L6" s="264"/>
    </row>
    <row r="7" spans="1:12" ht="14.25" customHeight="1" x14ac:dyDescent="0.25">
      <c r="A7" s="278" t="s">
        <v>291</v>
      </c>
      <c r="B7" s="278" t="s">
        <v>1</v>
      </c>
      <c r="C7" s="278" t="s">
        <v>3</v>
      </c>
      <c r="D7" s="278" t="s">
        <v>292</v>
      </c>
      <c r="E7" s="278" t="s">
        <v>293</v>
      </c>
      <c r="F7" s="278" t="s">
        <v>294</v>
      </c>
      <c r="G7" s="269"/>
      <c r="H7" s="266"/>
      <c r="I7" s="266"/>
      <c r="J7" s="266"/>
      <c r="K7" s="266"/>
      <c r="L7" s="266"/>
    </row>
    <row r="8" spans="1:12" x14ac:dyDescent="0.25">
      <c r="A8" s="163" t="s">
        <v>504</v>
      </c>
      <c r="B8" s="164"/>
      <c r="C8" s="165"/>
      <c r="D8" s="166"/>
      <c r="E8" s="166"/>
      <c r="F8" s="167"/>
      <c r="G8" s="266"/>
      <c r="H8" s="266"/>
      <c r="I8" s="266"/>
      <c r="J8" s="266"/>
      <c r="K8" s="266"/>
      <c r="L8" s="266"/>
    </row>
    <row r="9" spans="1:12" ht="26.4" x14ac:dyDescent="0.25">
      <c r="A9" s="75"/>
      <c r="B9" s="88" t="s">
        <v>295</v>
      </c>
      <c r="C9" s="173" t="s">
        <v>498</v>
      </c>
      <c r="D9" s="162"/>
      <c r="E9" s="171"/>
      <c r="F9" s="142" t="s">
        <v>296</v>
      </c>
      <c r="G9" s="269"/>
      <c r="H9" s="266"/>
      <c r="I9" s="266"/>
      <c r="J9" s="266"/>
      <c r="K9" s="266"/>
      <c r="L9" s="266"/>
    </row>
    <row r="10" spans="1:12" x14ac:dyDescent="0.25">
      <c r="A10" s="75"/>
      <c r="B10" s="78" t="s">
        <v>190</v>
      </c>
      <c r="C10" s="79" t="s">
        <v>1035</v>
      </c>
      <c r="D10" s="141"/>
      <c r="E10" s="382"/>
      <c r="F10" s="142" t="s">
        <v>296</v>
      </c>
      <c r="G10" s="266"/>
      <c r="H10" s="266"/>
      <c r="I10" s="266"/>
      <c r="J10" s="266"/>
      <c r="K10" s="266"/>
      <c r="L10" s="266"/>
    </row>
    <row r="11" spans="1:12" x14ac:dyDescent="0.25">
      <c r="A11" s="75"/>
      <c r="B11" s="78" t="s">
        <v>334</v>
      </c>
      <c r="C11" s="79"/>
      <c r="D11" s="141"/>
      <c r="E11" s="382"/>
      <c r="F11" s="142" t="s">
        <v>296</v>
      </c>
      <c r="G11" s="266"/>
      <c r="H11" s="266"/>
      <c r="I11" s="266"/>
      <c r="J11" s="266"/>
      <c r="K11" s="266"/>
      <c r="L11" s="266"/>
    </row>
    <row r="12" spans="1:12" x14ac:dyDescent="0.25">
      <c r="A12" s="75"/>
      <c r="B12" s="272" t="s">
        <v>481</v>
      </c>
      <c r="C12" s="79"/>
      <c r="D12" s="141"/>
      <c r="E12" s="382"/>
      <c r="F12" s="142" t="s">
        <v>296</v>
      </c>
      <c r="G12" s="266"/>
      <c r="H12" s="266"/>
      <c r="I12" s="266"/>
      <c r="J12" s="266"/>
      <c r="K12" s="266"/>
      <c r="L12" s="266"/>
    </row>
    <row r="13" spans="1:12" x14ac:dyDescent="0.25">
      <c r="A13" s="75"/>
      <c r="B13" s="272" t="s">
        <v>482</v>
      </c>
      <c r="C13" s="79"/>
      <c r="D13" s="141"/>
      <c r="E13" s="382"/>
      <c r="F13" s="142" t="s">
        <v>296</v>
      </c>
      <c r="G13" s="266"/>
      <c r="H13" s="266"/>
      <c r="I13" s="266"/>
      <c r="J13" s="266"/>
      <c r="K13" s="266"/>
      <c r="L13" s="266"/>
    </row>
    <row r="14" spans="1:12" x14ac:dyDescent="0.25">
      <c r="A14" s="75"/>
      <c r="B14" s="272" t="s">
        <v>483</v>
      </c>
      <c r="C14" s="79"/>
      <c r="D14" s="141"/>
      <c r="E14" s="382"/>
      <c r="F14" s="142" t="s">
        <v>296</v>
      </c>
      <c r="G14" s="266"/>
      <c r="H14" s="266"/>
      <c r="I14" s="266"/>
      <c r="J14" s="266"/>
      <c r="K14" s="266"/>
      <c r="L14" s="266"/>
    </row>
    <row r="15" spans="1:12" x14ac:dyDescent="0.25">
      <c r="A15" s="75"/>
      <c r="B15" s="272" t="s">
        <v>484</v>
      </c>
      <c r="C15" s="79" t="s">
        <v>1036</v>
      </c>
      <c r="D15" s="141"/>
      <c r="E15" s="382"/>
      <c r="F15" s="142" t="s">
        <v>296</v>
      </c>
      <c r="G15" s="266"/>
      <c r="H15" s="266"/>
      <c r="I15" s="266"/>
      <c r="J15" s="266"/>
      <c r="K15" s="266"/>
      <c r="L15" s="266"/>
    </row>
    <row r="16" spans="1:12" ht="39.6" x14ac:dyDescent="0.25">
      <c r="A16" s="75"/>
      <c r="B16" s="78" t="s">
        <v>99</v>
      </c>
      <c r="C16" s="273" t="s">
        <v>480</v>
      </c>
      <c r="D16" s="154"/>
      <c r="E16" s="141"/>
      <c r="F16" s="142" t="s">
        <v>296</v>
      </c>
      <c r="G16" s="266"/>
      <c r="H16" s="266"/>
      <c r="I16" s="266"/>
      <c r="J16" s="266"/>
      <c r="K16" s="266"/>
      <c r="L16" s="266"/>
    </row>
    <row r="17" spans="1:12" x14ac:dyDescent="0.25">
      <c r="A17" s="75"/>
      <c r="B17" s="78" t="s">
        <v>138</v>
      </c>
      <c r="C17" s="79" t="s">
        <v>208</v>
      </c>
      <c r="D17" s="174"/>
      <c r="E17" s="382"/>
      <c r="F17" s="142" t="s">
        <v>296</v>
      </c>
      <c r="G17" s="270"/>
      <c r="H17" s="271"/>
      <c r="I17" s="271"/>
      <c r="J17" s="266"/>
      <c r="K17" s="266"/>
      <c r="L17" s="266"/>
    </row>
    <row r="18" spans="1:12" ht="26.4" x14ac:dyDescent="0.25">
      <c r="A18" s="75"/>
      <c r="B18" s="78" t="s">
        <v>297</v>
      </c>
      <c r="C18" s="79" t="s">
        <v>989</v>
      </c>
      <c r="D18" s="170" t="s">
        <v>308</v>
      </c>
      <c r="E18" s="382"/>
      <c r="F18" s="142" t="s">
        <v>296</v>
      </c>
      <c r="G18" s="269"/>
      <c r="H18" s="266"/>
      <c r="I18" s="266"/>
      <c r="J18" s="266"/>
      <c r="K18" s="266"/>
      <c r="L18" s="266"/>
    </row>
    <row r="19" spans="1:12" ht="52.8" x14ac:dyDescent="0.25">
      <c r="A19" s="75"/>
      <c r="B19" s="78" t="s">
        <v>298</v>
      </c>
      <c r="C19" s="79" t="s">
        <v>1037</v>
      </c>
      <c r="D19" s="141"/>
      <c r="E19" s="382"/>
      <c r="F19" s="142" t="s">
        <v>296</v>
      </c>
      <c r="G19" s="266"/>
      <c r="H19" s="266"/>
      <c r="I19" s="266"/>
      <c r="J19" s="266"/>
      <c r="K19" s="266"/>
      <c r="L19" s="266"/>
    </row>
    <row r="20" spans="1:12" ht="52.8" x14ac:dyDescent="0.25">
      <c r="A20" s="75"/>
      <c r="B20" s="78" t="s">
        <v>299</v>
      </c>
      <c r="C20" s="79" t="s">
        <v>1038</v>
      </c>
      <c r="D20" s="141"/>
      <c r="E20" s="382"/>
      <c r="F20" s="142" t="s">
        <v>296</v>
      </c>
      <c r="G20" s="266"/>
      <c r="H20" s="266"/>
      <c r="I20" s="266"/>
      <c r="J20" s="266"/>
      <c r="K20" s="266"/>
      <c r="L20" s="266"/>
    </row>
    <row r="21" spans="1:12" x14ac:dyDescent="0.25">
      <c r="A21" s="75"/>
      <c r="B21" s="78" t="s">
        <v>300</v>
      </c>
      <c r="C21" s="79" t="s">
        <v>301</v>
      </c>
      <c r="D21" s="144"/>
      <c r="E21" s="382"/>
      <c r="F21" s="142" t="s">
        <v>296</v>
      </c>
      <c r="G21" s="266"/>
      <c r="H21" s="266"/>
      <c r="I21" s="266"/>
      <c r="J21" s="266"/>
      <c r="K21" s="266"/>
      <c r="L21" s="266"/>
    </row>
    <row r="22" spans="1:12" x14ac:dyDescent="0.25">
      <c r="A22" s="163" t="s">
        <v>195</v>
      </c>
      <c r="B22" s="164"/>
      <c r="C22" s="165"/>
      <c r="D22" s="166"/>
      <c r="E22" s="166"/>
      <c r="F22" s="167"/>
      <c r="G22" s="266"/>
      <c r="H22" s="266"/>
      <c r="I22" s="266"/>
      <c r="J22" s="266"/>
      <c r="K22" s="266"/>
      <c r="L22" s="266"/>
    </row>
    <row r="23" spans="1:12" ht="26.4" x14ac:dyDescent="0.25">
      <c r="A23" s="305" t="s">
        <v>725</v>
      </c>
      <c r="B23" s="78" t="s">
        <v>196</v>
      </c>
      <c r="C23" s="79" t="s">
        <v>1039</v>
      </c>
      <c r="D23" s="141"/>
      <c r="E23" s="382"/>
      <c r="F23" s="142" t="s">
        <v>296</v>
      </c>
      <c r="G23" s="266"/>
      <c r="H23" s="266"/>
      <c r="I23" s="266"/>
      <c r="J23" s="266"/>
      <c r="K23" s="266"/>
      <c r="L23" s="266"/>
    </row>
    <row r="24" spans="1:12" ht="105.6" x14ac:dyDescent="0.25">
      <c r="A24" s="305" t="s">
        <v>725</v>
      </c>
      <c r="B24" s="78" t="s">
        <v>522</v>
      </c>
      <c r="C24" s="79" t="s">
        <v>988</v>
      </c>
      <c r="D24" s="141"/>
      <c r="E24" s="382"/>
      <c r="F24" s="142" t="s">
        <v>296</v>
      </c>
      <c r="G24" s="266"/>
      <c r="H24" s="266"/>
      <c r="I24" s="266"/>
      <c r="J24" s="266"/>
      <c r="K24" s="266"/>
      <c r="L24" s="266"/>
    </row>
    <row r="25" spans="1:12" ht="26.4" x14ac:dyDescent="0.25">
      <c r="A25" s="163" t="s">
        <v>302</v>
      </c>
      <c r="B25" s="164"/>
      <c r="C25" s="165" t="s">
        <v>466</v>
      </c>
      <c r="D25" s="166"/>
      <c r="E25" s="165" t="s">
        <v>303</v>
      </c>
      <c r="F25" s="167"/>
      <c r="G25" s="266"/>
      <c r="H25" s="266"/>
      <c r="I25" s="266"/>
      <c r="J25" s="266"/>
      <c r="K25" s="266"/>
      <c r="L25" s="266"/>
    </row>
    <row r="26" spans="1:12" ht="26.4" x14ac:dyDescent="0.25">
      <c r="A26" s="305" t="s">
        <v>725</v>
      </c>
      <c r="B26" s="78" t="s">
        <v>197</v>
      </c>
      <c r="C26" s="79" t="s">
        <v>198</v>
      </c>
      <c r="D26" s="140"/>
      <c r="E26" s="382"/>
      <c r="F26" s="142" t="s">
        <v>296</v>
      </c>
      <c r="G26" s="266"/>
      <c r="H26" s="266"/>
      <c r="I26" s="266"/>
      <c r="J26" s="266"/>
      <c r="K26" s="266"/>
      <c r="L26" s="266"/>
    </row>
    <row r="27" spans="1:12" ht="26.4" x14ac:dyDescent="0.25">
      <c r="A27" s="305" t="s">
        <v>725</v>
      </c>
      <c r="B27" s="78" t="s">
        <v>304</v>
      </c>
      <c r="C27" s="79" t="s">
        <v>468</v>
      </c>
      <c r="D27" s="144"/>
      <c r="E27" s="382"/>
      <c r="F27" s="142" t="s">
        <v>296</v>
      </c>
      <c r="G27" s="266"/>
      <c r="H27" s="266"/>
      <c r="I27" s="266"/>
      <c r="J27" s="266"/>
      <c r="K27" s="266"/>
      <c r="L27" s="266"/>
    </row>
    <row r="28" spans="1:12" ht="26.4" x14ac:dyDescent="0.25">
      <c r="A28" s="305" t="s">
        <v>725</v>
      </c>
      <c r="B28" s="78" t="s">
        <v>199</v>
      </c>
      <c r="C28" s="79"/>
      <c r="D28" s="144"/>
      <c r="E28" s="382"/>
      <c r="F28" s="142" t="s">
        <v>296</v>
      </c>
      <c r="G28" s="266"/>
      <c r="H28" s="266"/>
      <c r="I28" s="266"/>
      <c r="J28" s="266"/>
      <c r="K28" s="266"/>
      <c r="L28" s="266"/>
    </row>
    <row r="29" spans="1:12" x14ac:dyDescent="0.25">
      <c r="A29" s="163" t="s">
        <v>485</v>
      </c>
      <c r="B29" s="164"/>
      <c r="C29" s="165" t="s">
        <v>306</v>
      </c>
      <c r="D29" s="166"/>
      <c r="E29" s="165"/>
      <c r="F29" s="167"/>
      <c r="G29" s="266"/>
      <c r="H29" s="266"/>
      <c r="I29" s="266"/>
      <c r="J29" s="266"/>
      <c r="K29" s="266"/>
      <c r="L29" s="266"/>
    </row>
    <row r="30" spans="1:12" ht="26.4" x14ac:dyDescent="0.25">
      <c r="A30" s="305" t="s">
        <v>725</v>
      </c>
      <c r="B30" s="78" t="s">
        <v>197</v>
      </c>
      <c r="C30" s="79" t="s">
        <v>486</v>
      </c>
      <c r="D30" s="154"/>
      <c r="E30" s="383"/>
      <c r="F30" s="142" t="s">
        <v>296</v>
      </c>
      <c r="G30" s="266"/>
      <c r="H30" s="266"/>
      <c r="I30" s="266"/>
      <c r="J30" s="266"/>
      <c r="K30" s="266"/>
      <c r="L30" s="266"/>
    </row>
    <row r="31" spans="1:12" ht="26.4" x14ac:dyDescent="0.25">
      <c r="A31" s="305" t="s">
        <v>725</v>
      </c>
      <c r="B31" s="78" t="s">
        <v>304</v>
      </c>
      <c r="C31" s="79" t="s">
        <v>468</v>
      </c>
      <c r="D31" s="144"/>
      <c r="E31" s="382"/>
      <c r="F31" s="142" t="s">
        <v>296</v>
      </c>
      <c r="G31" s="266"/>
      <c r="H31" s="266"/>
      <c r="I31" s="266"/>
      <c r="J31" s="266"/>
      <c r="K31" s="266"/>
      <c r="L31" s="266"/>
    </row>
    <row r="32" spans="1:12" ht="26.4" x14ac:dyDescent="0.25">
      <c r="A32" s="305" t="s">
        <v>725</v>
      </c>
      <c r="B32" s="78" t="s">
        <v>199</v>
      </c>
      <c r="C32" s="79"/>
      <c r="D32" s="144"/>
      <c r="E32" s="382"/>
      <c r="F32" s="142" t="s">
        <v>296</v>
      </c>
      <c r="G32" s="266"/>
      <c r="H32" s="266"/>
      <c r="I32" s="266"/>
      <c r="J32" s="266"/>
      <c r="K32" s="266"/>
      <c r="L32" s="266"/>
    </row>
    <row r="33" spans="1:12" x14ac:dyDescent="0.25">
      <c r="A33" s="163" t="s">
        <v>200</v>
      </c>
      <c r="B33" s="164"/>
      <c r="C33" s="165"/>
      <c r="D33" s="166"/>
      <c r="E33" s="166"/>
      <c r="F33" s="167"/>
      <c r="G33" s="266"/>
      <c r="H33" s="266"/>
      <c r="I33" s="266"/>
      <c r="J33" s="266"/>
      <c r="K33" s="266"/>
      <c r="L33" s="266"/>
    </row>
    <row r="34" spans="1:12" ht="26.4" x14ac:dyDescent="0.25">
      <c r="A34" s="305" t="s">
        <v>725</v>
      </c>
      <c r="B34" s="78" t="s">
        <v>201</v>
      </c>
      <c r="C34" s="79" t="s">
        <v>487</v>
      </c>
      <c r="D34" s="141"/>
      <c r="E34" s="382"/>
      <c r="F34" s="142" t="s">
        <v>296</v>
      </c>
      <c r="G34" s="266"/>
      <c r="H34" s="266"/>
      <c r="I34" s="266"/>
      <c r="J34" s="266"/>
      <c r="K34" s="266"/>
      <c r="L34" s="266"/>
    </row>
    <row r="35" spans="1:12" x14ac:dyDescent="0.25">
      <c r="A35" s="163" t="s">
        <v>202</v>
      </c>
      <c r="B35" s="164"/>
      <c r="C35" s="165"/>
      <c r="D35" s="166"/>
      <c r="E35" s="166"/>
      <c r="F35" s="167"/>
      <c r="G35" s="266"/>
      <c r="H35" s="266"/>
      <c r="I35" s="266"/>
      <c r="J35" s="266"/>
      <c r="K35" s="266"/>
      <c r="L35" s="266"/>
    </row>
    <row r="36" spans="1:12" ht="26.4" x14ac:dyDescent="0.25">
      <c r="A36" s="305" t="s">
        <v>725</v>
      </c>
      <c r="B36" s="78" t="s">
        <v>203</v>
      </c>
      <c r="C36" s="79" t="s">
        <v>307</v>
      </c>
      <c r="D36" s="141"/>
      <c r="E36" s="382"/>
      <c r="F36" s="142" t="s">
        <v>296</v>
      </c>
      <c r="G36" s="266"/>
      <c r="H36" s="266"/>
      <c r="I36" s="266"/>
      <c r="J36" s="266"/>
      <c r="K36" s="266"/>
      <c r="L36" s="266"/>
    </row>
    <row r="37" spans="1:12" ht="26.4" x14ac:dyDescent="0.25">
      <c r="A37" s="305" t="s">
        <v>725</v>
      </c>
      <c r="B37" s="78" t="s">
        <v>204</v>
      </c>
      <c r="C37" s="79" t="s">
        <v>205</v>
      </c>
      <c r="D37" s="146" t="s">
        <v>308</v>
      </c>
      <c r="E37" s="383"/>
      <c r="F37" s="142" t="s">
        <v>296</v>
      </c>
      <c r="G37" s="269"/>
      <c r="H37" s="266"/>
      <c r="I37" s="266"/>
      <c r="J37" s="266"/>
      <c r="K37" s="266"/>
      <c r="L37" s="266"/>
    </row>
    <row r="38" spans="1:12" ht="26.4" x14ac:dyDescent="0.25">
      <c r="A38" s="305" t="s">
        <v>725</v>
      </c>
      <c r="B38" s="78" t="s">
        <v>206</v>
      </c>
      <c r="C38" s="79" t="s">
        <v>309</v>
      </c>
      <c r="D38" s="141"/>
      <c r="E38" s="382"/>
      <c r="F38" s="142" t="s">
        <v>296</v>
      </c>
      <c r="G38" s="266"/>
      <c r="H38" s="266"/>
      <c r="I38" s="266"/>
      <c r="J38" s="266"/>
      <c r="K38" s="266"/>
      <c r="L38" s="266"/>
    </row>
    <row r="39" spans="1:12" ht="26.4" x14ac:dyDescent="0.25">
      <c r="A39" s="305" t="s">
        <v>725</v>
      </c>
      <c r="B39" s="78" t="s">
        <v>207</v>
      </c>
      <c r="C39" s="79" t="s">
        <v>208</v>
      </c>
      <c r="D39" s="146" t="s">
        <v>308</v>
      </c>
      <c r="E39" s="383"/>
      <c r="F39" s="142" t="s">
        <v>296</v>
      </c>
      <c r="G39" s="269"/>
      <c r="H39" s="266"/>
      <c r="I39" s="266"/>
      <c r="J39" s="266"/>
      <c r="K39" s="266"/>
      <c r="L39" s="266"/>
    </row>
    <row r="40" spans="1:12" ht="26.4" x14ac:dyDescent="0.25">
      <c r="A40" s="305" t="s">
        <v>725</v>
      </c>
      <c r="B40" s="78" t="s">
        <v>209</v>
      </c>
      <c r="C40" s="79" t="s">
        <v>1040</v>
      </c>
      <c r="D40" s="141"/>
      <c r="E40" s="382"/>
      <c r="F40" s="142" t="s">
        <v>296</v>
      </c>
      <c r="G40" s="266"/>
      <c r="H40" s="266"/>
      <c r="I40" s="266"/>
      <c r="J40" s="266"/>
      <c r="K40" s="266"/>
      <c r="L40" s="266"/>
    </row>
    <row r="41" spans="1:12" ht="39.6" x14ac:dyDescent="0.25">
      <c r="A41" s="305" t="s">
        <v>725</v>
      </c>
      <c r="B41" s="78" t="s">
        <v>310</v>
      </c>
      <c r="C41" s="79" t="s">
        <v>496</v>
      </c>
      <c r="D41" s="140"/>
      <c r="E41" s="382"/>
      <c r="F41" s="142" t="s">
        <v>296</v>
      </c>
      <c r="G41" s="266"/>
      <c r="H41" s="266"/>
      <c r="I41" s="266"/>
      <c r="J41" s="266"/>
      <c r="K41" s="266"/>
      <c r="L41" s="266"/>
    </row>
    <row r="42" spans="1:12" x14ac:dyDescent="0.25">
      <c r="A42" s="163" t="s">
        <v>210</v>
      </c>
      <c r="B42" s="164"/>
      <c r="C42" s="165" t="s">
        <v>467</v>
      </c>
      <c r="D42" s="166"/>
      <c r="E42" s="166"/>
      <c r="F42" s="167"/>
      <c r="G42" s="266"/>
      <c r="H42" s="266"/>
      <c r="I42" s="266"/>
      <c r="J42" s="266"/>
      <c r="K42" s="266"/>
      <c r="L42" s="266"/>
    </row>
    <row r="43" spans="1:12" ht="26.4" x14ac:dyDescent="0.25">
      <c r="A43" s="75"/>
      <c r="B43" s="78" t="s">
        <v>211</v>
      </c>
      <c r="C43" s="79" t="s">
        <v>212</v>
      </c>
      <c r="D43" s="141"/>
      <c r="E43" s="382"/>
      <c r="F43" s="142" t="s">
        <v>296</v>
      </c>
      <c r="G43" s="266"/>
      <c r="H43" s="266"/>
      <c r="I43" s="266"/>
      <c r="J43" s="266"/>
      <c r="K43" s="266"/>
      <c r="L43" s="266"/>
    </row>
    <row r="44" spans="1:12" ht="39.6" x14ac:dyDescent="0.25">
      <c r="A44" s="75"/>
      <c r="B44" s="78" t="s">
        <v>213</v>
      </c>
      <c r="C44" s="79" t="s">
        <v>214</v>
      </c>
      <c r="D44" s="141"/>
      <c r="E44" s="382"/>
      <c r="F44" s="142" t="s">
        <v>296</v>
      </c>
      <c r="G44" s="266"/>
      <c r="H44" s="266"/>
      <c r="I44" s="266"/>
      <c r="J44" s="266"/>
      <c r="K44" s="266"/>
      <c r="L44" s="266"/>
    </row>
    <row r="45" spans="1:12" ht="26.4" x14ac:dyDescent="0.25">
      <c r="A45" s="75"/>
      <c r="B45" s="78" t="s">
        <v>215</v>
      </c>
      <c r="C45" s="79" t="s">
        <v>311</v>
      </c>
      <c r="D45" s="141"/>
      <c r="E45" s="382"/>
      <c r="F45" s="142" t="s">
        <v>296</v>
      </c>
      <c r="G45" s="266"/>
      <c r="H45" s="266"/>
      <c r="I45" s="266"/>
      <c r="J45" s="266"/>
      <c r="K45" s="266"/>
      <c r="L45" s="266"/>
    </row>
    <row r="46" spans="1:12" x14ac:dyDescent="0.25">
      <c r="A46" s="75"/>
      <c r="B46" s="78" t="s">
        <v>216</v>
      </c>
      <c r="C46" s="79" t="s">
        <v>217</v>
      </c>
      <c r="D46" s="141"/>
      <c r="E46" s="382"/>
      <c r="F46" s="142" t="s">
        <v>296</v>
      </c>
      <c r="G46" s="266"/>
      <c r="H46" s="266"/>
      <c r="I46" s="266"/>
      <c r="J46" s="266"/>
      <c r="K46" s="266"/>
      <c r="L46" s="266"/>
    </row>
    <row r="47" spans="1:12" x14ac:dyDescent="0.25">
      <c r="A47" s="75"/>
      <c r="B47" s="78" t="s">
        <v>218</v>
      </c>
      <c r="C47" s="79" t="s">
        <v>219</v>
      </c>
      <c r="D47" s="141"/>
      <c r="E47" s="382"/>
      <c r="F47" s="142" t="s">
        <v>296</v>
      </c>
      <c r="G47" s="266"/>
      <c r="H47" s="266"/>
      <c r="I47" s="266"/>
      <c r="J47" s="266"/>
      <c r="K47" s="266"/>
      <c r="L47" s="266"/>
    </row>
    <row r="48" spans="1:12" ht="26.4" x14ac:dyDescent="0.25">
      <c r="A48" s="75"/>
      <c r="B48" s="78" t="s">
        <v>220</v>
      </c>
      <c r="C48" s="79" t="s">
        <v>312</v>
      </c>
      <c r="D48" s="141"/>
      <c r="E48" s="382"/>
      <c r="F48" s="142" t="s">
        <v>296</v>
      </c>
      <c r="G48" s="266"/>
      <c r="H48" s="266"/>
      <c r="I48" s="266"/>
      <c r="J48" s="266"/>
      <c r="K48" s="266"/>
      <c r="L48" s="266"/>
    </row>
    <row r="49" spans="1:12" x14ac:dyDescent="0.25">
      <c r="A49" s="163" t="s">
        <v>617</v>
      </c>
      <c r="B49" s="164"/>
      <c r="C49" s="165"/>
      <c r="D49" s="166"/>
      <c r="E49" s="166"/>
      <c r="F49" s="167"/>
      <c r="G49" s="266"/>
      <c r="H49" s="266"/>
      <c r="I49" s="266"/>
      <c r="J49" s="266"/>
      <c r="K49" s="266"/>
      <c r="L49" s="266"/>
    </row>
    <row r="50" spans="1:12" x14ac:dyDescent="0.25">
      <c r="A50" s="75"/>
      <c r="B50" s="78" t="s">
        <v>221</v>
      </c>
      <c r="C50" s="79" t="s">
        <v>313</v>
      </c>
      <c r="D50" s="141"/>
      <c r="E50" s="382"/>
      <c r="F50" s="142" t="s">
        <v>296</v>
      </c>
      <c r="G50" s="266"/>
      <c r="H50" s="266"/>
      <c r="I50" s="266"/>
      <c r="J50" s="266"/>
      <c r="K50" s="266"/>
      <c r="L50" s="266"/>
    </row>
    <row r="51" spans="1:12" x14ac:dyDescent="0.25">
      <c r="A51" s="75"/>
      <c r="B51" s="78" t="s">
        <v>314</v>
      </c>
      <c r="C51" s="79"/>
      <c r="D51" s="141"/>
      <c r="E51" s="382"/>
      <c r="F51" s="142" t="s">
        <v>296</v>
      </c>
      <c r="G51" s="266"/>
      <c r="H51" s="266"/>
      <c r="I51" s="266"/>
      <c r="J51" s="266"/>
      <c r="K51" s="266"/>
      <c r="L51" s="266"/>
    </row>
    <row r="52" spans="1:12" x14ac:dyDescent="0.25">
      <c r="A52" s="75"/>
      <c r="B52" s="78" t="s">
        <v>222</v>
      </c>
      <c r="C52" s="79"/>
      <c r="D52" s="144"/>
      <c r="E52" s="382"/>
      <c r="F52" s="142" t="s">
        <v>296</v>
      </c>
      <c r="G52" s="266"/>
      <c r="H52" s="266"/>
      <c r="I52" s="266"/>
      <c r="J52" s="266"/>
      <c r="K52" s="266"/>
      <c r="L52" s="266"/>
    </row>
    <row r="53" spans="1:12" x14ac:dyDescent="0.25">
      <c r="A53" s="163" t="s">
        <v>223</v>
      </c>
      <c r="B53" s="164"/>
      <c r="C53" s="165"/>
      <c r="D53" s="166"/>
      <c r="E53" s="166"/>
      <c r="F53" s="167"/>
      <c r="G53" s="266"/>
      <c r="H53" s="266"/>
      <c r="I53" s="266"/>
      <c r="J53" s="266"/>
      <c r="K53" s="266"/>
      <c r="L53" s="266"/>
    </row>
    <row r="54" spans="1:12" ht="26.4" x14ac:dyDescent="0.25">
      <c r="A54" s="305" t="s">
        <v>725</v>
      </c>
      <c r="B54" s="78" t="s">
        <v>224</v>
      </c>
      <c r="C54" s="79" t="s">
        <v>225</v>
      </c>
      <c r="D54" s="141"/>
      <c r="E54" s="382"/>
      <c r="F54" s="142" t="s">
        <v>296</v>
      </c>
      <c r="G54" s="266"/>
      <c r="H54" s="266"/>
      <c r="I54" s="266"/>
      <c r="J54" s="266"/>
      <c r="K54" s="266"/>
      <c r="L54" s="266"/>
    </row>
    <row r="55" spans="1:12" ht="26.4" x14ac:dyDescent="0.25">
      <c r="A55" s="305" t="s">
        <v>725</v>
      </c>
      <c r="B55" s="274" t="s">
        <v>226</v>
      </c>
      <c r="C55" s="79" t="s">
        <v>227</v>
      </c>
      <c r="D55" s="141"/>
      <c r="E55" s="382"/>
      <c r="F55" s="142" t="s">
        <v>296</v>
      </c>
      <c r="G55" s="266"/>
      <c r="H55" s="266"/>
      <c r="I55" s="266"/>
      <c r="J55" s="266"/>
      <c r="K55" s="266"/>
      <c r="L55" s="266"/>
    </row>
    <row r="56" spans="1:12" ht="26.4" x14ac:dyDescent="0.25">
      <c r="A56" s="305" t="s">
        <v>725</v>
      </c>
      <c r="B56" s="272" t="s">
        <v>228</v>
      </c>
      <c r="C56" s="79" t="s">
        <v>229</v>
      </c>
      <c r="D56" s="141"/>
      <c r="E56" s="382"/>
      <c r="F56" s="142" t="s">
        <v>296</v>
      </c>
      <c r="G56" s="266"/>
      <c r="H56" s="266"/>
      <c r="I56" s="266"/>
      <c r="J56" s="266"/>
      <c r="K56" s="266"/>
      <c r="L56" s="266"/>
    </row>
    <row r="57" spans="1:12" ht="26.4" x14ac:dyDescent="0.25">
      <c r="A57" s="305" t="s">
        <v>725</v>
      </c>
      <c r="B57" s="78" t="s">
        <v>230</v>
      </c>
      <c r="C57" s="79" t="s">
        <v>227</v>
      </c>
      <c r="D57" s="141"/>
      <c r="E57" s="382"/>
      <c r="F57" s="142" t="s">
        <v>296</v>
      </c>
      <c r="G57" s="266"/>
      <c r="H57" s="266"/>
      <c r="I57" s="266"/>
      <c r="J57" s="266"/>
      <c r="K57" s="266"/>
      <c r="L57" s="266"/>
    </row>
    <row r="58" spans="1:12" ht="26.4" x14ac:dyDescent="0.25">
      <c r="A58" s="305" t="s">
        <v>725</v>
      </c>
      <c r="B58" s="272" t="s">
        <v>315</v>
      </c>
      <c r="C58" s="79" t="s">
        <v>316</v>
      </c>
      <c r="D58" s="141"/>
      <c r="E58" s="382"/>
      <c r="F58" s="142" t="s">
        <v>296</v>
      </c>
      <c r="G58" s="266"/>
      <c r="H58" s="266"/>
      <c r="I58" s="266"/>
      <c r="J58" s="266"/>
      <c r="K58" s="266"/>
      <c r="L58" s="266"/>
    </row>
    <row r="59" spans="1:12" ht="26.4" x14ac:dyDescent="0.25">
      <c r="A59" s="163" t="s">
        <v>231</v>
      </c>
      <c r="B59" s="164"/>
      <c r="C59" s="165" t="s">
        <v>453</v>
      </c>
      <c r="D59" s="166"/>
      <c r="E59" s="166"/>
      <c r="F59" s="167"/>
      <c r="G59" s="266"/>
      <c r="H59" s="266"/>
      <c r="I59" s="266"/>
      <c r="J59" s="266"/>
      <c r="K59" s="266"/>
      <c r="L59" s="266"/>
    </row>
    <row r="60" spans="1:12" ht="26.4" x14ac:dyDescent="0.25">
      <c r="A60" s="75"/>
      <c r="B60" s="78" t="s">
        <v>232</v>
      </c>
      <c r="C60" s="79" t="s">
        <v>233</v>
      </c>
      <c r="D60" s="141"/>
      <c r="E60" s="382"/>
      <c r="F60" s="142" t="s">
        <v>296</v>
      </c>
      <c r="G60" s="266"/>
      <c r="H60" s="266"/>
      <c r="I60" s="266"/>
      <c r="J60" s="266"/>
      <c r="K60" s="266"/>
      <c r="L60" s="266"/>
    </row>
    <row r="61" spans="1:12" ht="39.6" x14ac:dyDescent="0.25">
      <c r="A61" s="75"/>
      <c r="B61" s="78" t="s">
        <v>234</v>
      </c>
      <c r="C61" s="79" t="s">
        <v>1041</v>
      </c>
      <c r="D61" s="145" t="s">
        <v>308</v>
      </c>
      <c r="E61" s="384"/>
      <c r="F61" s="142" t="s">
        <v>296</v>
      </c>
      <c r="G61" s="266"/>
      <c r="H61" s="266"/>
      <c r="I61" s="266"/>
      <c r="J61" s="266"/>
      <c r="K61" s="266"/>
      <c r="L61" s="266"/>
    </row>
    <row r="62" spans="1:12" x14ac:dyDescent="0.25">
      <c r="A62" s="75"/>
      <c r="B62" s="78" t="s">
        <v>235</v>
      </c>
      <c r="C62" s="79" t="s">
        <v>500</v>
      </c>
      <c r="D62" s="144"/>
      <c r="E62" s="382"/>
      <c r="F62" s="142" t="s">
        <v>296</v>
      </c>
      <c r="G62" s="266"/>
      <c r="H62" s="266"/>
      <c r="I62" s="266"/>
      <c r="J62" s="266"/>
      <c r="K62" s="266"/>
      <c r="L62" s="266"/>
    </row>
    <row r="63" spans="1:12" ht="26.4" x14ac:dyDescent="0.25">
      <c r="A63" s="75"/>
      <c r="B63" s="78" t="s">
        <v>317</v>
      </c>
      <c r="C63" s="79" t="s">
        <v>499</v>
      </c>
      <c r="D63" s="145" t="s">
        <v>308</v>
      </c>
      <c r="E63" s="385"/>
      <c r="F63" s="142" t="s">
        <v>296</v>
      </c>
      <c r="G63" s="266"/>
      <c r="H63" s="266"/>
      <c r="I63" s="266"/>
      <c r="J63" s="266"/>
      <c r="K63" s="266"/>
      <c r="L63" s="266"/>
    </row>
    <row r="64" spans="1:12" x14ac:dyDescent="0.25">
      <c r="A64" s="75"/>
      <c r="B64" s="78" t="s">
        <v>235</v>
      </c>
      <c r="C64" s="79"/>
      <c r="D64" s="144"/>
      <c r="E64" s="382"/>
      <c r="F64" s="142" t="s">
        <v>296</v>
      </c>
      <c r="G64" s="266"/>
      <c r="H64" s="266"/>
      <c r="I64" s="266"/>
      <c r="J64" s="266"/>
      <c r="K64" s="266"/>
      <c r="L64" s="266"/>
    </row>
    <row r="65" spans="1:12" ht="39.6" x14ac:dyDescent="0.25">
      <c r="A65" s="305" t="s">
        <v>725</v>
      </c>
      <c r="B65" s="78" t="s">
        <v>236</v>
      </c>
      <c r="C65" s="79" t="s">
        <v>501</v>
      </c>
      <c r="D65" s="141"/>
      <c r="E65" s="382"/>
      <c r="F65" s="142" t="s">
        <v>296</v>
      </c>
      <c r="G65" s="266"/>
      <c r="H65" s="266"/>
      <c r="I65" s="266"/>
      <c r="J65" s="266"/>
      <c r="K65" s="266"/>
      <c r="L65" s="266"/>
    </row>
    <row r="66" spans="1:12" ht="39.6" x14ac:dyDescent="0.25">
      <c r="A66" s="305" t="s">
        <v>725</v>
      </c>
      <c r="B66" s="78" t="s">
        <v>237</v>
      </c>
      <c r="C66" s="79" t="s">
        <v>497</v>
      </c>
      <c r="D66" s="141"/>
      <c r="E66" s="382"/>
      <c r="F66" s="142" t="s">
        <v>296</v>
      </c>
      <c r="G66" s="266"/>
      <c r="H66" s="266"/>
      <c r="I66" s="266"/>
      <c r="J66" s="266"/>
      <c r="K66" s="266"/>
      <c r="L66" s="266"/>
    </row>
    <row r="67" spans="1:12" ht="26.4" x14ac:dyDescent="0.25">
      <c r="A67" s="305" t="s">
        <v>725</v>
      </c>
      <c r="B67" s="78" t="s">
        <v>238</v>
      </c>
      <c r="C67" s="79" t="s">
        <v>239</v>
      </c>
      <c r="D67" s="141"/>
      <c r="E67" s="382"/>
      <c r="F67" s="142" t="s">
        <v>296</v>
      </c>
      <c r="G67" s="266"/>
      <c r="H67" s="266"/>
      <c r="I67" s="266"/>
      <c r="J67" s="266"/>
      <c r="K67" s="266"/>
      <c r="L67" s="266"/>
    </row>
    <row r="68" spans="1:12" ht="26.4" x14ac:dyDescent="0.25">
      <c r="A68" s="305" t="s">
        <v>725</v>
      </c>
      <c r="B68" s="272" t="s">
        <v>240</v>
      </c>
      <c r="C68" s="79" t="s">
        <v>318</v>
      </c>
      <c r="D68" s="146" t="s">
        <v>502</v>
      </c>
      <c r="E68" s="382"/>
      <c r="F68" s="142" t="s">
        <v>296</v>
      </c>
      <c r="G68" s="266"/>
      <c r="H68" s="266"/>
      <c r="I68" s="266"/>
      <c r="J68" s="266"/>
      <c r="K68" s="266"/>
      <c r="L68" s="266"/>
    </row>
    <row r="69" spans="1:12" ht="26.4" x14ac:dyDescent="0.25">
      <c r="A69" s="305" t="s">
        <v>725</v>
      </c>
      <c r="B69" s="272"/>
      <c r="C69" s="79" t="s">
        <v>319</v>
      </c>
      <c r="D69" s="141"/>
      <c r="E69" s="382"/>
      <c r="F69" s="142" t="s">
        <v>296</v>
      </c>
      <c r="G69" s="266"/>
      <c r="H69" s="266"/>
      <c r="I69" s="266"/>
      <c r="J69" s="266"/>
      <c r="K69" s="266"/>
      <c r="L69" s="266"/>
    </row>
    <row r="70" spans="1:12" ht="26.4" x14ac:dyDescent="0.25">
      <c r="A70" s="305" t="s">
        <v>725</v>
      </c>
      <c r="B70" s="78" t="s">
        <v>241</v>
      </c>
      <c r="C70" s="79" t="s">
        <v>239</v>
      </c>
      <c r="D70" s="141"/>
      <c r="E70" s="382"/>
      <c r="F70" s="142" t="s">
        <v>296</v>
      </c>
      <c r="G70" s="266"/>
      <c r="H70" s="266"/>
      <c r="I70" s="266"/>
      <c r="J70" s="266"/>
      <c r="K70" s="266"/>
      <c r="L70" s="266"/>
    </row>
    <row r="71" spans="1:12" ht="26.4" x14ac:dyDescent="0.25">
      <c r="A71" s="305" t="s">
        <v>725</v>
      </c>
      <c r="B71" s="272" t="s">
        <v>240</v>
      </c>
      <c r="C71" s="79" t="s">
        <v>318</v>
      </c>
      <c r="D71" s="146" t="s">
        <v>502</v>
      </c>
      <c r="E71" s="382"/>
      <c r="F71" s="142" t="s">
        <v>296</v>
      </c>
      <c r="G71" s="266"/>
      <c r="H71" s="266"/>
      <c r="I71" s="266"/>
      <c r="J71" s="266"/>
      <c r="K71" s="266"/>
      <c r="L71" s="266"/>
    </row>
    <row r="72" spans="1:12" ht="26.4" x14ac:dyDescent="0.25">
      <c r="A72" s="305" t="s">
        <v>725</v>
      </c>
      <c r="B72" s="272"/>
      <c r="C72" s="79" t="s">
        <v>319</v>
      </c>
      <c r="D72" s="141"/>
      <c r="E72" s="382"/>
      <c r="F72" s="142" t="s">
        <v>296</v>
      </c>
      <c r="G72" s="266"/>
      <c r="H72" s="266"/>
      <c r="I72" s="266"/>
      <c r="J72" s="266"/>
      <c r="K72" s="266"/>
      <c r="L72" s="266"/>
    </row>
    <row r="73" spans="1:12" ht="26.4" x14ac:dyDescent="0.25">
      <c r="A73" s="305" t="s">
        <v>725</v>
      </c>
      <c r="B73" s="78" t="s">
        <v>320</v>
      </c>
      <c r="C73" s="79" t="s">
        <v>318</v>
      </c>
      <c r="D73" s="146" t="s">
        <v>502</v>
      </c>
      <c r="E73" s="382"/>
      <c r="F73" s="142" t="s">
        <v>296</v>
      </c>
      <c r="G73" s="266"/>
      <c r="H73" s="266"/>
      <c r="I73" s="266"/>
      <c r="J73" s="266"/>
      <c r="K73" s="266"/>
      <c r="L73" s="266"/>
    </row>
    <row r="74" spans="1:12" ht="26.4" x14ac:dyDescent="0.25">
      <c r="A74" s="305" t="s">
        <v>725</v>
      </c>
      <c r="B74" s="78"/>
      <c r="C74" s="79" t="s">
        <v>319</v>
      </c>
      <c r="D74" s="141"/>
      <c r="E74" s="382"/>
      <c r="F74" s="142" t="s">
        <v>296</v>
      </c>
      <c r="G74" s="266"/>
      <c r="H74" s="266"/>
      <c r="I74" s="266"/>
      <c r="J74" s="266"/>
      <c r="K74" s="266"/>
      <c r="L74" s="266"/>
    </row>
    <row r="75" spans="1:12" ht="26.4" x14ac:dyDescent="0.25">
      <c r="A75" s="163" t="s">
        <v>321</v>
      </c>
      <c r="B75" s="164"/>
      <c r="C75" s="165" t="s">
        <v>452</v>
      </c>
      <c r="D75" s="166"/>
      <c r="E75" s="166"/>
      <c r="F75" s="167"/>
      <c r="G75" s="266"/>
      <c r="H75" s="266"/>
      <c r="I75" s="266"/>
      <c r="J75" s="266"/>
      <c r="K75" s="266"/>
      <c r="L75" s="266"/>
    </row>
    <row r="76" spans="1:12" x14ac:dyDescent="0.25">
      <c r="A76" s="75"/>
      <c r="B76" s="78" t="s">
        <v>138</v>
      </c>
      <c r="C76" s="79" t="s">
        <v>242</v>
      </c>
      <c r="D76" s="169" t="s">
        <v>296</v>
      </c>
      <c r="E76" s="384"/>
      <c r="F76" s="142" t="s">
        <v>296</v>
      </c>
      <c r="G76" s="266"/>
      <c r="H76" s="266"/>
      <c r="I76" s="266"/>
      <c r="J76" s="266"/>
      <c r="K76" s="266"/>
      <c r="L76" s="266"/>
    </row>
    <row r="77" spans="1:12" x14ac:dyDescent="0.25">
      <c r="A77" s="75"/>
      <c r="B77" s="78" t="s">
        <v>139</v>
      </c>
      <c r="C77" s="79" t="s">
        <v>243</v>
      </c>
      <c r="D77" s="144"/>
      <c r="E77" s="382"/>
      <c r="F77" s="142" t="s">
        <v>296</v>
      </c>
      <c r="G77" s="266"/>
      <c r="H77" s="266"/>
      <c r="I77" s="266"/>
      <c r="J77" s="266"/>
      <c r="K77" s="266"/>
      <c r="L77" s="266"/>
    </row>
    <row r="78" spans="1:12" x14ac:dyDescent="0.25">
      <c r="A78" s="75"/>
      <c r="B78" s="78" t="s">
        <v>140</v>
      </c>
      <c r="C78" s="79" t="s">
        <v>244</v>
      </c>
      <c r="D78" s="144"/>
      <c r="E78" s="382"/>
      <c r="F78" s="142" t="s">
        <v>296</v>
      </c>
      <c r="G78" s="266"/>
      <c r="H78" s="266"/>
      <c r="I78" s="266"/>
      <c r="J78" s="266"/>
      <c r="K78" s="266"/>
      <c r="L78" s="266"/>
    </row>
    <row r="79" spans="1:12" x14ac:dyDescent="0.25">
      <c r="A79" s="75"/>
      <c r="B79" s="78" t="s">
        <v>245</v>
      </c>
      <c r="C79" s="79" t="s">
        <v>322</v>
      </c>
      <c r="D79" s="147"/>
      <c r="E79" s="382"/>
      <c r="F79" s="142" t="s">
        <v>296</v>
      </c>
      <c r="G79" s="266"/>
      <c r="H79" s="266"/>
      <c r="I79" s="266"/>
      <c r="J79" s="266"/>
      <c r="K79" s="266"/>
      <c r="L79" s="266"/>
    </row>
    <row r="80" spans="1:12" x14ac:dyDescent="0.25">
      <c r="A80" s="163" t="s">
        <v>246</v>
      </c>
      <c r="B80" s="164"/>
      <c r="C80" s="165" t="s">
        <v>323</v>
      </c>
      <c r="D80" s="166"/>
      <c r="E80" s="166"/>
      <c r="F80" s="167"/>
      <c r="G80" s="266"/>
      <c r="H80" s="266"/>
      <c r="I80" s="266"/>
      <c r="J80" s="266"/>
      <c r="K80" s="266"/>
      <c r="L80" s="266"/>
    </row>
    <row r="81" spans="1:12" ht="26.4" x14ac:dyDescent="0.25">
      <c r="A81" s="74"/>
      <c r="B81" s="78" t="s">
        <v>247</v>
      </c>
      <c r="C81" s="79" t="s">
        <v>248</v>
      </c>
      <c r="D81" s="141"/>
      <c r="E81" s="382"/>
      <c r="F81" s="142" t="s">
        <v>296</v>
      </c>
      <c r="G81" s="266"/>
      <c r="H81" s="266"/>
      <c r="I81" s="266"/>
      <c r="J81" s="266"/>
      <c r="K81" s="266"/>
      <c r="L81" s="266"/>
    </row>
    <row r="82" spans="1:12" x14ac:dyDescent="0.25">
      <c r="A82" s="75"/>
      <c r="B82" s="78" t="s">
        <v>249</v>
      </c>
      <c r="C82" s="79" t="s">
        <v>324</v>
      </c>
      <c r="D82" s="141"/>
      <c r="E82" s="382"/>
      <c r="F82" s="142" t="s">
        <v>296</v>
      </c>
      <c r="G82" s="266"/>
      <c r="H82" s="266"/>
      <c r="I82" s="266"/>
      <c r="J82" s="266"/>
      <c r="K82" s="266"/>
      <c r="L82" s="266"/>
    </row>
    <row r="83" spans="1:12" ht="39.6" x14ac:dyDescent="0.25">
      <c r="A83" s="75"/>
      <c r="B83" s="78" t="s">
        <v>325</v>
      </c>
      <c r="C83" s="79" t="s">
        <v>573</v>
      </c>
      <c r="D83" s="141"/>
      <c r="E83" s="382"/>
      <c r="F83" s="142" t="s">
        <v>296</v>
      </c>
      <c r="G83" s="266"/>
      <c r="H83" s="266"/>
      <c r="I83" s="266"/>
      <c r="J83" s="266"/>
      <c r="K83" s="266"/>
      <c r="L83" s="266"/>
    </row>
    <row r="84" spans="1:12" ht="39.6" x14ac:dyDescent="0.25">
      <c r="A84" s="75"/>
      <c r="B84" s="78" t="s">
        <v>104</v>
      </c>
      <c r="C84" s="79" t="s">
        <v>326</v>
      </c>
      <c r="D84" s="141"/>
      <c r="E84" s="382"/>
      <c r="F84" s="142" t="s">
        <v>296</v>
      </c>
      <c r="G84" s="266"/>
      <c r="H84" s="266"/>
      <c r="I84" s="266"/>
      <c r="J84" s="266"/>
      <c r="K84" s="266"/>
      <c r="L84" s="266"/>
    </row>
    <row r="85" spans="1:12" ht="26.4" x14ac:dyDescent="0.25">
      <c r="A85" s="75"/>
      <c r="B85" s="78" t="s">
        <v>0</v>
      </c>
      <c r="C85" s="79" t="s">
        <v>327</v>
      </c>
      <c r="D85" s="141"/>
      <c r="E85" s="382"/>
      <c r="F85" s="142" t="s">
        <v>296</v>
      </c>
      <c r="G85" s="266"/>
      <c r="H85" s="266"/>
      <c r="I85" s="266"/>
      <c r="J85" s="266"/>
      <c r="K85" s="266"/>
      <c r="L85" s="266"/>
    </row>
    <row r="86" spans="1:12" ht="39.6" x14ac:dyDescent="0.25">
      <c r="A86" s="75"/>
      <c r="B86" s="78" t="s">
        <v>24</v>
      </c>
      <c r="C86" s="79" t="s">
        <v>250</v>
      </c>
      <c r="D86" s="141"/>
      <c r="E86" s="382"/>
      <c r="F86" s="142" t="s">
        <v>296</v>
      </c>
      <c r="G86" s="266"/>
      <c r="H86" s="266"/>
      <c r="I86" s="266"/>
      <c r="J86" s="266"/>
      <c r="K86" s="266"/>
      <c r="L86" s="266"/>
    </row>
    <row r="87" spans="1:12" ht="66" x14ac:dyDescent="0.25">
      <c r="A87" s="75"/>
      <c r="B87" s="78" t="s">
        <v>251</v>
      </c>
      <c r="C87" s="79" t="s">
        <v>328</v>
      </c>
      <c r="D87" s="141"/>
      <c r="E87" s="382"/>
      <c r="F87" s="142" t="s">
        <v>296</v>
      </c>
      <c r="G87" s="266"/>
      <c r="H87" s="266"/>
      <c r="I87" s="266"/>
      <c r="J87" s="266"/>
      <c r="K87" s="266"/>
      <c r="L87" s="266"/>
    </row>
    <row r="88" spans="1:12" x14ac:dyDescent="0.25">
      <c r="G88" s="266"/>
      <c r="H88" s="266"/>
      <c r="I88" s="266"/>
      <c r="J88" s="266"/>
      <c r="K88" s="266"/>
      <c r="L88" s="266"/>
    </row>
    <row r="89" spans="1:12" x14ac:dyDescent="0.25">
      <c r="G89" s="266"/>
      <c r="H89" s="266"/>
      <c r="I89" s="266"/>
      <c r="J89" s="266"/>
      <c r="K89" s="266"/>
      <c r="L89" s="266"/>
    </row>
    <row r="90" spans="1:12" x14ac:dyDescent="0.25">
      <c r="G90" s="266"/>
      <c r="H90" s="266"/>
      <c r="I90" s="266"/>
      <c r="J90" s="266"/>
      <c r="K90" s="266"/>
      <c r="L90" s="266"/>
    </row>
    <row r="91" spans="1:12" x14ac:dyDescent="0.25">
      <c r="G91" s="266"/>
      <c r="H91" s="266"/>
      <c r="I91" s="266"/>
      <c r="J91" s="266"/>
      <c r="K91" s="266"/>
      <c r="L91" s="266"/>
    </row>
    <row r="92" spans="1:12" x14ac:dyDescent="0.25">
      <c r="G92" s="266"/>
      <c r="H92" s="266"/>
      <c r="I92" s="266"/>
      <c r="J92" s="266"/>
      <c r="K92" s="266"/>
      <c r="L92" s="266"/>
    </row>
    <row r="93" spans="1:12" x14ac:dyDescent="0.25">
      <c r="G93" s="266"/>
      <c r="H93" s="266"/>
      <c r="I93" s="266"/>
      <c r="J93" s="266"/>
      <c r="K93" s="266"/>
      <c r="L93" s="266"/>
    </row>
    <row r="94" spans="1:12" x14ac:dyDescent="0.25">
      <c r="G94" s="266"/>
      <c r="H94" s="266"/>
      <c r="I94" s="266"/>
      <c r="J94" s="266"/>
      <c r="K94" s="266"/>
      <c r="L94" s="266"/>
    </row>
    <row r="95" spans="1:12" x14ac:dyDescent="0.25">
      <c r="G95" s="266"/>
      <c r="H95" s="266"/>
      <c r="I95" s="266"/>
      <c r="J95" s="266"/>
      <c r="K95" s="266"/>
      <c r="L95" s="266"/>
    </row>
    <row r="96" spans="1:12" x14ac:dyDescent="0.25">
      <c r="G96" s="266"/>
      <c r="H96" s="266"/>
      <c r="I96" s="266"/>
      <c r="J96" s="266"/>
      <c r="K96" s="266"/>
      <c r="L96" s="266"/>
    </row>
    <row r="97" spans="7:12" x14ac:dyDescent="0.25">
      <c r="G97" s="266"/>
      <c r="H97" s="266"/>
      <c r="I97" s="266"/>
      <c r="J97" s="266"/>
      <c r="K97" s="266"/>
      <c r="L97" s="266"/>
    </row>
    <row r="98" spans="7:12" x14ac:dyDescent="0.25">
      <c r="G98" s="266"/>
      <c r="H98" s="266"/>
      <c r="I98" s="266"/>
      <c r="J98" s="266"/>
      <c r="K98" s="266"/>
      <c r="L98" s="266"/>
    </row>
    <row r="99" spans="7:12" x14ac:dyDescent="0.25">
      <c r="G99" s="266"/>
      <c r="H99" s="266"/>
      <c r="I99" s="266"/>
      <c r="J99" s="266"/>
      <c r="K99" s="266"/>
      <c r="L99" s="266"/>
    </row>
    <row r="100" spans="7:12" x14ac:dyDescent="0.25">
      <c r="G100" s="266"/>
      <c r="H100" s="266"/>
      <c r="I100" s="266"/>
      <c r="J100" s="266"/>
      <c r="K100" s="266"/>
      <c r="L100" s="266"/>
    </row>
    <row r="101" spans="7:12" x14ac:dyDescent="0.25">
      <c r="G101" s="266"/>
      <c r="H101" s="266"/>
      <c r="I101" s="266"/>
      <c r="J101" s="266"/>
      <c r="K101" s="266"/>
      <c r="L101" s="266"/>
    </row>
    <row r="102" spans="7:12" x14ac:dyDescent="0.25">
      <c r="G102" s="266"/>
      <c r="H102" s="266"/>
      <c r="I102" s="266"/>
      <c r="J102" s="266"/>
      <c r="K102" s="266"/>
      <c r="L102" s="266"/>
    </row>
    <row r="103" spans="7:12" x14ac:dyDescent="0.25">
      <c r="G103" s="266"/>
      <c r="H103" s="266"/>
      <c r="I103" s="266"/>
      <c r="J103" s="266"/>
      <c r="K103" s="266"/>
      <c r="L103" s="266"/>
    </row>
    <row r="104" spans="7:12" x14ac:dyDescent="0.25">
      <c r="G104" s="266"/>
      <c r="H104" s="266"/>
      <c r="I104" s="266"/>
      <c r="J104" s="266"/>
      <c r="K104" s="266"/>
      <c r="L104" s="266"/>
    </row>
    <row r="105" spans="7:12" x14ac:dyDescent="0.25">
      <c r="G105" s="266"/>
      <c r="H105" s="266"/>
      <c r="I105" s="266"/>
      <c r="J105" s="266"/>
      <c r="K105" s="266"/>
      <c r="L105" s="266"/>
    </row>
    <row r="106" spans="7:12" x14ac:dyDescent="0.25">
      <c r="G106" s="266"/>
      <c r="H106" s="266"/>
      <c r="I106" s="266"/>
      <c r="J106" s="266"/>
      <c r="K106" s="266"/>
      <c r="L106" s="266"/>
    </row>
    <row r="107" spans="7:12" x14ac:dyDescent="0.25">
      <c r="G107" s="266"/>
      <c r="H107" s="266"/>
      <c r="I107" s="266"/>
      <c r="J107" s="266"/>
      <c r="K107" s="266"/>
      <c r="L107" s="266"/>
    </row>
    <row r="108" spans="7:12" x14ac:dyDescent="0.25">
      <c r="G108" s="266"/>
      <c r="H108" s="266"/>
      <c r="I108" s="266"/>
      <c r="J108" s="266"/>
      <c r="K108" s="266"/>
      <c r="L108" s="266"/>
    </row>
    <row r="109" spans="7:12" x14ac:dyDescent="0.25">
      <c r="G109" s="266"/>
      <c r="H109" s="266"/>
      <c r="I109" s="266"/>
      <c r="J109" s="266"/>
      <c r="K109" s="266"/>
      <c r="L109" s="266"/>
    </row>
    <row r="110" spans="7:12" x14ac:dyDescent="0.25">
      <c r="G110" s="266"/>
      <c r="H110" s="266"/>
      <c r="I110" s="266"/>
      <c r="J110" s="266"/>
      <c r="K110" s="266"/>
      <c r="L110" s="266"/>
    </row>
    <row r="111" spans="7:12" x14ac:dyDescent="0.25">
      <c r="G111" s="266"/>
      <c r="H111" s="266"/>
      <c r="I111" s="266"/>
      <c r="J111" s="266"/>
      <c r="K111" s="266"/>
      <c r="L111" s="266"/>
    </row>
    <row r="112" spans="7:12" x14ac:dyDescent="0.25">
      <c r="G112" s="266"/>
      <c r="H112" s="266"/>
      <c r="I112" s="266"/>
      <c r="J112" s="266"/>
      <c r="K112" s="266"/>
      <c r="L112" s="266"/>
    </row>
    <row r="113" spans="7:12" x14ac:dyDescent="0.25">
      <c r="G113" s="266"/>
      <c r="H113" s="266"/>
      <c r="I113" s="266"/>
      <c r="J113" s="266"/>
      <c r="K113" s="266"/>
      <c r="L113" s="266"/>
    </row>
    <row r="114" spans="7:12" x14ac:dyDescent="0.25">
      <c r="G114" s="266"/>
      <c r="H114" s="266"/>
      <c r="I114" s="266"/>
      <c r="J114" s="266"/>
      <c r="K114" s="266"/>
      <c r="L114" s="266"/>
    </row>
    <row r="115" spans="7:12" x14ac:dyDescent="0.25">
      <c r="G115" s="266"/>
      <c r="H115" s="266"/>
      <c r="I115" s="266"/>
      <c r="J115" s="266"/>
      <c r="K115" s="266"/>
      <c r="L115" s="266"/>
    </row>
    <row r="116" spans="7:12" x14ac:dyDescent="0.25">
      <c r="G116" s="266"/>
      <c r="H116" s="266"/>
      <c r="I116" s="266"/>
      <c r="J116" s="266"/>
      <c r="K116" s="266"/>
      <c r="L116" s="266"/>
    </row>
    <row r="117" spans="7:12" x14ac:dyDescent="0.25">
      <c r="G117" s="266"/>
      <c r="H117" s="266"/>
      <c r="I117" s="266"/>
      <c r="J117" s="266"/>
      <c r="K117" s="266"/>
      <c r="L117" s="266"/>
    </row>
    <row r="118" spans="7:12" x14ac:dyDescent="0.25">
      <c r="G118" s="266"/>
      <c r="H118" s="266"/>
      <c r="I118" s="266"/>
      <c r="J118" s="266"/>
      <c r="K118" s="266"/>
      <c r="L118" s="266"/>
    </row>
    <row r="119" spans="7:12" x14ac:dyDescent="0.25">
      <c r="G119" s="266"/>
      <c r="H119" s="266"/>
      <c r="I119" s="266"/>
      <c r="J119" s="266"/>
      <c r="K119" s="266"/>
      <c r="L119" s="266"/>
    </row>
    <row r="120" spans="7:12" x14ac:dyDescent="0.25">
      <c r="G120" s="266"/>
      <c r="H120" s="266"/>
      <c r="I120" s="266"/>
      <c r="J120" s="266"/>
      <c r="K120" s="266"/>
      <c r="L120" s="266"/>
    </row>
    <row r="121" spans="7:12" x14ac:dyDescent="0.25">
      <c r="G121" s="266"/>
      <c r="H121" s="266"/>
      <c r="I121" s="266"/>
      <c r="J121" s="266"/>
      <c r="K121" s="266"/>
      <c r="L121" s="266"/>
    </row>
    <row r="122" spans="7:12" x14ac:dyDescent="0.25">
      <c r="G122" s="266"/>
      <c r="H122" s="266"/>
      <c r="I122" s="266"/>
      <c r="J122" s="266"/>
      <c r="K122" s="266"/>
      <c r="L122" s="266"/>
    </row>
    <row r="123" spans="7:12" x14ac:dyDescent="0.25">
      <c r="G123" s="266"/>
      <c r="H123" s="266"/>
      <c r="I123" s="266"/>
      <c r="J123" s="266"/>
      <c r="K123" s="266"/>
      <c r="L123" s="266"/>
    </row>
    <row r="124" spans="7:12" x14ac:dyDescent="0.25">
      <c r="G124" s="266"/>
      <c r="H124" s="266"/>
      <c r="I124" s="266"/>
      <c r="J124" s="266"/>
      <c r="K124" s="266"/>
      <c r="L124" s="266"/>
    </row>
    <row r="125" spans="7:12" x14ac:dyDescent="0.25">
      <c r="G125" s="266"/>
      <c r="H125" s="266"/>
      <c r="I125" s="266"/>
      <c r="J125" s="266"/>
      <c r="K125" s="266"/>
      <c r="L125" s="266"/>
    </row>
    <row r="126" spans="7:12" x14ac:dyDescent="0.25">
      <c r="G126" s="266"/>
      <c r="H126" s="266"/>
      <c r="I126" s="266"/>
      <c r="J126" s="266"/>
      <c r="K126" s="266"/>
      <c r="L126" s="266"/>
    </row>
    <row r="127" spans="7:12" x14ac:dyDescent="0.25">
      <c r="G127" s="266"/>
      <c r="H127" s="266"/>
      <c r="I127" s="266"/>
      <c r="J127" s="266"/>
      <c r="K127" s="266"/>
      <c r="L127" s="266"/>
    </row>
    <row r="128" spans="7:12" x14ac:dyDescent="0.25">
      <c r="G128" s="266"/>
      <c r="H128" s="266"/>
      <c r="I128" s="266"/>
      <c r="J128" s="266"/>
      <c r="K128" s="266"/>
      <c r="L128" s="266"/>
    </row>
    <row r="129" spans="7:12" x14ac:dyDescent="0.25">
      <c r="G129" s="266"/>
      <c r="H129" s="266"/>
      <c r="I129" s="266"/>
      <c r="J129" s="266"/>
      <c r="K129" s="266"/>
      <c r="L129" s="266"/>
    </row>
    <row r="130" spans="7:12" x14ac:dyDescent="0.25">
      <c r="G130" s="266"/>
      <c r="H130" s="266"/>
      <c r="I130" s="266"/>
      <c r="J130" s="266"/>
      <c r="K130" s="266"/>
      <c r="L130" s="266"/>
    </row>
    <row r="131" spans="7:12" x14ac:dyDescent="0.25">
      <c r="G131" s="266"/>
      <c r="H131" s="266"/>
      <c r="I131" s="266"/>
      <c r="J131" s="266"/>
      <c r="K131" s="266"/>
      <c r="L131" s="266"/>
    </row>
    <row r="132" spans="7:12" x14ac:dyDescent="0.25">
      <c r="G132" s="266"/>
      <c r="H132" s="266"/>
      <c r="I132" s="266"/>
      <c r="J132" s="266"/>
      <c r="K132" s="266"/>
      <c r="L132" s="266"/>
    </row>
    <row r="133" spans="7:12" x14ac:dyDescent="0.25">
      <c r="G133" s="266"/>
      <c r="H133" s="266"/>
      <c r="I133" s="266"/>
      <c r="J133" s="266"/>
      <c r="K133" s="266"/>
      <c r="L133" s="266"/>
    </row>
    <row r="134" spans="7:12" x14ac:dyDescent="0.25">
      <c r="G134" s="266"/>
      <c r="H134" s="266"/>
      <c r="I134" s="266"/>
      <c r="J134" s="266"/>
      <c r="K134" s="266"/>
      <c r="L134" s="266"/>
    </row>
    <row r="135" spans="7:12" x14ac:dyDescent="0.25">
      <c r="G135" s="266"/>
      <c r="H135" s="266"/>
      <c r="I135" s="266"/>
      <c r="J135" s="266"/>
      <c r="K135" s="266"/>
      <c r="L135" s="266"/>
    </row>
    <row r="136" spans="7:12" x14ac:dyDescent="0.25">
      <c r="G136" s="266"/>
      <c r="H136" s="266"/>
      <c r="I136" s="266"/>
      <c r="J136" s="266"/>
      <c r="K136" s="266"/>
      <c r="L136" s="266"/>
    </row>
    <row r="137" spans="7:12" x14ac:dyDescent="0.25">
      <c r="G137" s="266"/>
      <c r="H137" s="266"/>
      <c r="I137" s="266"/>
      <c r="J137" s="266"/>
      <c r="K137" s="266"/>
      <c r="L137" s="266"/>
    </row>
    <row r="138" spans="7:12" x14ac:dyDescent="0.25">
      <c r="G138" s="266"/>
      <c r="H138" s="266"/>
      <c r="I138" s="266"/>
      <c r="J138" s="266"/>
      <c r="K138" s="266"/>
      <c r="L138" s="266"/>
    </row>
    <row r="139" spans="7:12" x14ac:dyDescent="0.25">
      <c r="G139" s="266"/>
      <c r="H139" s="266"/>
      <c r="I139" s="266"/>
      <c r="J139" s="266"/>
      <c r="K139" s="266"/>
      <c r="L139" s="266"/>
    </row>
    <row r="140" spans="7:12" x14ac:dyDescent="0.25">
      <c r="G140" s="266"/>
      <c r="H140" s="266"/>
      <c r="I140" s="266"/>
      <c r="J140" s="266"/>
      <c r="K140" s="266"/>
      <c r="L140" s="266"/>
    </row>
    <row r="141" spans="7:12" x14ac:dyDescent="0.25">
      <c r="G141" s="266"/>
      <c r="H141" s="266"/>
      <c r="I141" s="266"/>
      <c r="J141" s="266"/>
      <c r="K141" s="266"/>
      <c r="L141" s="266"/>
    </row>
    <row r="142" spans="7:12" x14ac:dyDescent="0.25">
      <c r="G142" s="266"/>
      <c r="H142" s="266"/>
      <c r="I142" s="266"/>
      <c r="J142" s="266"/>
      <c r="K142" s="266"/>
      <c r="L142" s="266"/>
    </row>
    <row r="143" spans="7:12" x14ac:dyDescent="0.25">
      <c r="G143" s="266"/>
      <c r="H143" s="266"/>
      <c r="I143" s="266"/>
      <c r="J143" s="266"/>
      <c r="K143" s="266"/>
      <c r="L143" s="266"/>
    </row>
    <row r="144" spans="7:12" x14ac:dyDescent="0.25">
      <c r="G144" s="266"/>
      <c r="H144" s="266"/>
      <c r="I144" s="266"/>
      <c r="J144" s="266"/>
      <c r="K144" s="266"/>
      <c r="L144" s="266"/>
    </row>
    <row r="145" spans="7:12" x14ac:dyDescent="0.25">
      <c r="G145" s="266"/>
      <c r="H145" s="266"/>
      <c r="I145" s="266"/>
      <c r="J145" s="266"/>
      <c r="K145" s="266"/>
      <c r="L145" s="266"/>
    </row>
    <row r="146" spans="7:12" x14ac:dyDescent="0.25">
      <c r="G146" s="266"/>
      <c r="H146" s="266"/>
      <c r="I146" s="266"/>
      <c r="J146" s="266"/>
      <c r="K146" s="266"/>
      <c r="L146" s="266"/>
    </row>
    <row r="147" spans="7:12" x14ac:dyDescent="0.25">
      <c r="G147" s="266"/>
      <c r="H147" s="266"/>
      <c r="I147" s="266"/>
      <c r="J147" s="266"/>
      <c r="K147" s="266"/>
      <c r="L147" s="266"/>
    </row>
    <row r="148" spans="7:12" x14ac:dyDescent="0.25">
      <c r="G148" s="266"/>
      <c r="H148" s="266"/>
      <c r="I148" s="266"/>
      <c r="J148" s="266"/>
      <c r="K148" s="266"/>
      <c r="L148" s="266"/>
    </row>
    <row r="149" spans="7:12" x14ac:dyDescent="0.25">
      <c r="G149" s="266"/>
      <c r="H149" s="266"/>
      <c r="I149" s="266"/>
      <c r="J149" s="266"/>
      <c r="K149" s="266"/>
      <c r="L149" s="266"/>
    </row>
    <row r="150" spans="7:12" x14ac:dyDescent="0.25">
      <c r="G150" s="266"/>
      <c r="H150" s="266"/>
      <c r="I150" s="266"/>
      <c r="J150" s="266"/>
      <c r="K150" s="266"/>
      <c r="L150" s="266"/>
    </row>
    <row r="151" spans="7:12" x14ac:dyDescent="0.25">
      <c r="G151" s="266"/>
      <c r="H151" s="266"/>
      <c r="I151" s="266"/>
      <c r="J151" s="266"/>
      <c r="K151" s="266"/>
      <c r="L151" s="266"/>
    </row>
    <row r="152" spans="7:12" x14ac:dyDescent="0.25">
      <c r="G152" s="266"/>
      <c r="H152" s="266"/>
      <c r="I152" s="266"/>
      <c r="J152" s="266"/>
      <c r="K152" s="266"/>
      <c r="L152" s="266"/>
    </row>
    <row r="153" spans="7:12" x14ac:dyDescent="0.25">
      <c r="G153" s="266"/>
      <c r="H153" s="266"/>
      <c r="I153" s="266"/>
      <c r="J153" s="266"/>
      <c r="K153" s="266"/>
      <c r="L153" s="266"/>
    </row>
    <row r="154" spans="7:12" x14ac:dyDescent="0.25">
      <c r="G154" s="266"/>
      <c r="H154" s="266"/>
      <c r="I154" s="266"/>
      <c r="J154" s="266"/>
      <c r="K154" s="266"/>
      <c r="L154" s="266"/>
    </row>
    <row r="155" spans="7:12" x14ac:dyDescent="0.25">
      <c r="G155" s="266"/>
      <c r="H155" s="266"/>
      <c r="I155" s="266"/>
      <c r="J155" s="266"/>
      <c r="K155" s="266"/>
      <c r="L155" s="266"/>
    </row>
    <row r="156" spans="7:12" x14ac:dyDescent="0.25">
      <c r="G156" s="266"/>
      <c r="H156" s="266"/>
      <c r="I156" s="266"/>
      <c r="J156" s="266"/>
      <c r="K156" s="266"/>
      <c r="L156" s="266"/>
    </row>
    <row r="157" spans="7:12" x14ac:dyDescent="0.25">
      <c r="G157" s="266"/>
      <c r="H157" s="266"/>
      <c r="I157" s="266"/>
      <c r="J157" s="266"/>
      <c r="K157" s="266"/>
      <c r="L157" s="266"/>
    </row>
    <row r="158" spans="7:12" x14ac:dyDescent="0.25">
      <c r="G158" s="266"/>
      <c r="H158" s="266"/>
      <c r="I158" s="266"/>
      <c r="J158" s="266"/>
      <c r="K158" s="266"/>
      <c r="L158" s="266"/>
    </row>
    <row r="159" spans="7:12" x14ac:dyDescent="0.25">
      <c r="G159" s="266"/>
      <c r="H159" s="266"/>
      <c r="I159" s="266"/>
      <c r="J159" s="266"/>
      <c r="K159" s="266"/>
      <c r="L159" s="266"/>
    </row>
    <row r="160" spans="7:12" x14ac:dyDescent="0.25">
      <c r="G160" s="266"/>
      <c r="H160" s="266"/>
      <c r="I160" s="266"/>
      <c r="J160" s="266"/>
      <c r="K160" s="266"/>
      <c r="L160" s="266"/>
    </row>
    <row r="161" spans="7:12" x14ac:dyDescent="0.25">
      <c r="G161" s="266"/>
      <c r="H161" s="266"/>
      <c r="I161" s="266"/>
      <c r="J161" s="266"/>
      <c r="K161" s="266"/>
      <c r="L161" s="266"/>
    </row>
    <row r="162" spans="7:12" x14ac:dyDescent="0.25">
      <c r="G162" s="266"/>
      <c r="H162" s="266"/>
      <c r="I162" s="266"/>
      <c r="J162" s="266"/>
      <c r="K162" s="266"/>
      <c r="L162" s="266"/>
    </row>
    <row r="163" spans="7:12" x14ac:dyDescent="0.25">
      <c r="G163" s="266"/>
      <c r="H163" s="266"/>
      <c r="I163" s="266"/>
      <c r="J163" s="266"/>
      <c r="K163" s="266"/>
      <c r="L163" s="266"/>
    </row>
    <row r="164" spans="7:12" x14ac:dyDescent="0.25">
      <c r="G164" s="266"/>
      <c r="H164" s="266"/>
      <c r="I164" s="266"/>
      <c r="J164" s="266"/>
      <c r="K164" s="266"/>
      <c r="L164" s="266"/>
    </row>
    <row r="165" spans="7:12" x14ac:dyDescent="0.25">
      <c r="G165" s="266"/>
      <c r="H165" s="266"/>
      <c r="I165" s="266"/>
      <c r="J165" s="266"/>
      <c r="K165" s="266"/>
      <c r="L165" s="266"/>
    </row>
    <row r="166" spans="7:12" x14ac:dyDescent="0.25">
      <c r="G166" s="266"/>
      <c r="H166" s="266"/>
      <c r="I166" s="266"/>
      <c r="J166" s="266"/>
      <c r="K166" s="266"/>
      <c r="L166" s="266"/>
    </row>
    <row r="167" spans="7:12" x14ac:dyDescent="0.25">
      <c r="G167" s="266"/>
      <c r="H167" s="266"/>
      <c r="I167" s="266"/>
      <c r="J167" s="266"/>
      <c r="K167" s="266"/>
      <c r="L167" s="266"/>
    </row>
    <row r="168" spans="7:12" x14ac:dyDescent="0.25">
      <c r="G168" s="266"/>
      <c r="H168" s="266"/>
      <c r="I168" s="266"/>
      <c r="J168" s="266"/>
      <c r="K168" s="266"/>
      <c r="L168" s="266"/>
    </row>
    <row r="169" spans="7:12" x14ac:dyDescent="0.25">
      <c r="G169" s="266"/>
      <c r="H169" s="266"/>
      <c r="I169" s="266"/>
      <c r="J169" s="266"/>
      <c r="K169" s="266"/>
      <c r="L169" s="266"/>
    </row>
    <row r="170" spans="7:12" x14ac:dyDescent="0.25">
      <c r="G170" s="266"/>
      <c r="H170" s="266"/>
      <c r="I170" s="266"/>
      <c r="J170" s="266"/>
      <c r="K170" s="266"/>
      <c r="L170" s="266"/>
    </row>
    <row r="171" spans="7:12" x14ac:dyDescent="0.25">
      <c r="G171" s="266"/>
      <c r="H171" s="266"/>
      <c r="I171" s="266"/>
      <c r="J171" s="266"/>
      <c r="K171" s="266"/>
      <c r="L171" s="266"/>
    </row>
    <row r="172" spans="7:12" x14ac:dyDescent="0.25">
      <c r="G172" s="266"/>
      <c r="H172" s="266"/>
      <c r="I172" s="266"/>
      <c r="J172" s="266"/>
      <c r="K172" s="266"/>
      <c r="L172" s="266"/>
    </row>
    <row r="173" spans="7:12" x14ac:dyDescent="0.25">
      <c r="G173" s="266"/>
      <c r="H173" s="266"/>
      <c r="I173" s="266"/>
      <c r="J173" s="266"/>
      <c r="K173" s="266"/>
      <c r="L173" s="266"/>
    </row>
    <row r="174" spans="7:12" x14ac:dyDescent="0.25">
      <c r="G174" s="266"/>
      <c r="H174" s="266"/>
      <c r="I174" s="266"/>
      <c r="J174" s="266"/>
      <c r="K174" s="266"/>
      <c r="L174" s="266"/>
    </row>
    <row r="175" spans="7:12" x14ac:dyDescent="0.25">
      <c r="G175" s="266"/>
      <c r="H175" s="266"/>
      <c r="I175" s="266"/>
      <c r="J175" s="266"/>
      <c r="K175" s="266"/>
      <c r="L175" s="266"/>
    </row>
    <row r="176" spans="7:12" x14ac:dyDescent="0.25">
      <c r="G176" s="266"/>
      <c r="H176" s="266"/>
      <c r="I176" s="266"/>
      <c r="J176" s="266"/>
      <c r="K176" s="266"/>
      <c r="L176" s="266"/>
    </row>
    <row r="177" spans="7:12" x14ac:dyDescent="0.25">
      <c r="G177" s="266"/>
      <c r="H177" s="266"/>
      <c r="I177" s="266"/>
      <c r="J177" s="266"/>
      <c r="K177" s="266"/>
      <c r="L177" s="266"/>
    </row>
    <row r="178" spans="7:12" x14ac:dyDescent="0.25">
      <c r="G178" s="266"/>
      <c r="H178" s="266"/>
      <c r="I178" s="266"/>
      <c r="J178" s="266"/>
      <c r="K178" s="266"/>
      <c r="L178" s="266"/>
    </row>
    <row r="179" spans="7:12" x14ac:dyDescent="0.25">
      <c r="G179" s="266"/>
      <c r="H179" s="266"/>
      <c r="I179" s="266"/>
      <c r="J179" s="266"/>
      <c r="K179" s="266"/>
      <c r="L179" s="266"/>
    </row>
    <row r="180" spans="7:12" x14ac:dyDescent="0.25">
      <c r="G180" s="266"/>
      <c r="H180" s="266"/>
      <c r="I180" s="266"/>
      <c r="J180" s="266"/>
      <c r="K180" s="266"/>
      <c r="L180" s="266"/>
    </row>
    <row r="181" spans="7:12" x14ac:dyDescent="0.25">
      <c r="G181" s="266"/>
      <c r="H181" s="266"/>
      <c r="I181" s="266"/>
      <c r="J181" s="266"/>
      <c r="K181" s="266"/>
      <c r="L181" s="266"/>
    </row>
    <row r="182" spans="7:12" x14ac:dyDescent="0.25">
      <c r="G182" s="266"/>
      <c r="H182" s="266"/>
      <c r="I182" s="266"/>
      <c r="J182" s="266"/>
      <c r="K182" s="266"/>
      <c r="L182" s="266"/>
    </row>
    <row r="183" spans="7:12" x14ac:dyDescent="0.25">
      <c r="G183" s="266"/>
      <c r="H183" s="266"/>
      <c r="I183" s="266"/>
      <c r="J183" s="266"/>
      <c r="K183" s="266"/>
      <c r="L183" s="266"/>
    </row>
    <row r="184" spans="7:12" x14ac:dyDescent="0.25">
      <c r="G184" s="266"/>
      <c r="H184" s="266"/>
      <c r="I184" s="266"/>
      <c r="J184" s="266"/>
      <c r="K184" s="266"/>
      <c r="L184" s="266"/>
    </row>
    <row r="185" spans="7:12" x14ac:dyDescent="0.25">
      <c r="G185" s="266"/>
      <c r="H185" s="266"/>
      <c r="I185" s="266"/>
      <c r="J185" s="266"/>
      <c r="K185" s="266"/>
      <c r="L185" s="266"/>
    </row>
    <row r="186" spans="7:12" x14ac:dyDescent="0.25">
      <c r="G186" s="266"/>
      <c r="H186" s="266"/>
      <c r="I186" s="266"/>
      <c r="J186" s="266"/>
      <c r="K186" s="266"/>
      <c r="L186" s="266"/>
    </row>
    <row r="187" spans="7:12" x14ac:dyDescent="0.25">
      <c r="G187" s="266"/>
      <c r="H187" s="266"/>
      <c r="I187" s="266"/>
      <c r="J187" s="266"/>
      <c r="K187" s="266"/>
      <c r="L187" s="266"/>
    </row>
    <row r="188" spans="7:12" x14ac:dyDescent="0.25">
      <c r="G188" s="266"/>
      <c r="H188" s="266"/>
      <c r="I188" s="266"/>
      <c r="J188" s="266"/>
      <c r="K188" s="266"/>
      <c r="L188" s="266"/>
    </row>
    <row r="189" spans="7:12" x14ac:dyDescent="0.25">
      <c r="G189" s="266"/>
      <c r="H189" s="266"/>
      <c r="I189" s="266"/>
      <c r="J189" s="266"/>
      <c r="K189" s="266"/>
      <c r="L189" s="266"/>
    </row>
    <row r="190" spans="7:12" x14ac:dyDescent="0.25">
      <c r="G190" s="266"/>
      <c r="H190" s="266"/>
      <c r="I190" s="266"/>
      <c r="J190" s="266"/>
      <c r="K190" s="266"/>
      <c r="L190" s="266"/>
    </row>
    <row r="191" spans="7:12" x14ac:dyDescent="0.25">
      <c r="G191" s="266"/>
      <c r="H191" s="266"/>
      <c r="I191" s="266"/>
      <c r="J191" s="266"/>
      <c r="K191" s="266"/>
      <c r="L191" s="266"/>
    </row>
    <row r="192" spans="7:12" x14ac:dyDescent="0.25">
      <c r="G192" s="266"/>
      <c r="H192" s="266"/>
      <c r="I192" s="266"/>
      <c r="J192" s="266"/>
      <c r="K192" s="266"/>
      <c r="L192" s="266"/>
    </row>
    <row r="193" spans="7:12" x14ac:dyDescent="0.25">
      <c r="G193" s="266"/>
      <c r="H193" s="266"/>
      <c r="I193" s="266"/>
      <c r="J193" s="266"/>
      <c r="K193" s="266"/>
      <c r="L193" s="266"/>
    </row>
    <row r="194" spans="7:12" x14ac:dyDescent="0.25">
      <c r="G194" s="266"/>
      <c r="H194" s="266"/>
      <c r="I194" s="266"/>
      <c r="J194" s="266"/>
      <c r="K194" s="266"/>
      <c r="L194" s="266"/>
    </row>
    <row r="195" spans="7:12" x14ac:dyDescent="0.25">
      <c r="G195" s="266"/>
      <c r="H195" s="266"/>
      <c r="I195" s="266"/>
      <c r="J195" s="266"/>
      <c r="K195" s="266"/>
      <c r="L195" s="266"/>
    </row>
    <row r="196" spans="7:12" x14ac:dyDescent="0.25">
      <c r="G196" s="266"/>
      <c r="H196" s="266"/>
      <c r="I196" s="266"/>
      <c r="J196" s="266"/>
      <c r="K196" s="266"/>
      <c r="L196" s="266"/>
    </row>
    <row r="197" spans="7:12" x14ac:dyDescent="0.25">
      <c r="G197" s="266"/>
      <c r="H197" s="266"/>
      <c r="I197" s="266"/>
      <c r="J197" s="266"/>
      <c r="K197" s="266"/>
      <c r="L197" s="266"/>
    </row>
    <row r="198" spans="7:12" x14ac:dyDescent="0.25">
      <c r="G198" s="266"/>
      <c r="H198" s="266"/>
      <c r="I198" s="266"/>
      <c r="J198" s="266"/>
      <c r="K198" s="266"/>
      <c r="L198" s="266"/>
    </row>
    <row r="199" spans="7:12" x14ac:dyDescent="0.25">
      <c r="G199" s="266"/>
      <c r="H199" s="266"/>
      <c r="I199" s="266"/>
      <c r="J199" s="266"/>
      <c r="K199" s="266"/>
      <c r="L199" s="266"/>
    </row>
    <row r="200" spans="7:12" x14ac:dyDescent="0.25">
      <c r="G200" s="266"/>
      <c r="H200" s="266"/>
      <c r="I200" s="266"/>
      <c r="J200" s="266"/>
      <c r="K200" s="266"/>
      <c r="L200" s="266"/>
    </row>
    <row r="201" spans="7:12" x14ac:dyDescent="0.25">
      <c r="G201" s="266"/>
      <c r="H201" s="266"/>
      <c r="I201" s="266"/>
      <c r="J201" s="266"/>
      <c r="K201" s="266"/>
      <c r="L201" s="266"/>
    </row>
    <row r="202" spans="7:12" x14ac:dyDescent="0.25">
      <c r="G202" s="266"/>
      <c r="H202" s="266"/>
      <c r="I202" s="266"/>
      <c r="J202" s="266"/>
      <c r="K202" s="266"/>
      <c r="L202" s="266"/>
    </row>
    <row r="203" spans="7:12" x14ac:dyDescent="0.25">
      <c r="G203" s="266"/>
      <c r="H203" s="266"/>
      <c r="I203" s="266"/>
      <c r="J203" s="266"/>
      <c r="K203" s="266"/>
      <c r="L203" s="266"/>
    </row>
    <row r="204" spans="7:12" x14ac:dyDescent="0.25">
      <c r="G204" s="266"/>
      <c r="H204" s="266"/>
      <c r="I204" s="266"/>
      <c r="J204" s="266"/>
      <c r="K204" s="266"/>
      <c r="L204" s="266"/>
    </row>
    <row r="205" spans="7:12" x14ac:dyDescent="0.25">
      <c r="G205" s="266"/>
      <c r="H205" s="266"/>
      <c r="I205" s="266"/>
      <c r="J205" s="266"/>
      <c r="K205" s="266"/>
      <c r="L205" s="266"/>
    </row>
    <row r="206" spans="7:12" x14ac:dyDescent="0.25">
      <c r="G206" s="266"/>
      <c r="H206" s="266"/>
      <c r="I206" s="266"/>
      <c r="J206" s="266"/>
      <c r="K206" s="266"/>
      <c r="L206" s="266"/>
    </row>
    <row r="207" spans="7:12" x14ac:dyDescent="0.25">
      <c r="G207" s="266"/>
      <c r="H207" s="266"/>
      <c r="I207" s="266"/>
      <c r="J207" s="266"/>
      <c r="K207" s="266"/>
      <c r="L207" s="266"/>
    </row>
    <row r="208" spans="7:12" x14ac:dyDescent="0.25">
      <c r="G208" s="266"/>
      <c r="H208" s="266"/>
      <c r="I208" s="266"/>
      <c r="J208" s="266"/>
      <c r="K208" s="266"/>
      <c r="L208" s="266"/>
    </row>
    <row r="209" spans="7:12" x14ac:dyDescent="0.25">
      <c r="G209" s="266"/>
      <c r="H209" s="266"/>
      <c r="I209" s="266"/>
      <c r="J209" s="266"/>
      <c r="K209" s="266"/>
      <c r="L209" s="266"/>
    </row>
    <row r="210" spans="7:12" x14ac:dyDescent="0.25">
      <c r="G210" s="266"/>
      <c r="H210" s="266"/>
      <c r="I210" s="266"/>
      <c r="J210" s="266"/>
      <c r="K210" s="266"/>
      <c r="L210" s="266"/>
    </row>
    <row r="211" spans="7:12" x14ac:dyDescent="0.25">
      <c r="G211" s="266"/>
      <c r="H211" s="266"/>
      <c r="I211" s="266"/>
      <c r="J211" s="266"/>
      <c r="K211" s="266"/>
      <c r="L211" s="266"/>
    </row>
    <row r="212" spans="7:12" x14ac:dyDescent="0.25">
      <c r="G212" s="266"/>
      <c r="H212" s="266"/>
      <c r="I212" s="266"/>
      <c r="J212" s="266"/>
      <c r="K212" s="266"/>
      <c r="L212" s="266"/>
    </row>
    <row r="213" spans="7:12" x14ac:dyDescent="0.25">
      <c r="G213" s="266"/>
      <c r="H213" s="266"/>
      <c r="I213" s="266"/>
      <c r="J213" s="266"/>
      <c r="K213" s="266"/>
      <c r="L213" s="266"/>
    </row>
    <row r="214" spans="7:12" x14ac:dyDescent="0.25">
      <c r="G214" s="266"/>
      <c r="H214" s="266"/>
      <c r="I214" s="266"/>
      <c r="J214" s="266"/>
      <c r="K214" s="266"/>
      <c r="L214" s="266"/>
    </row>
    <row r="215" spans="7:12" x14ac:dyDescent="0.25">
      <c r="G215" s="266"/>
      <c r="H215" s="266"/>
      <c r="I215" s="266"/>
      <c r="J215" s="266"/>
      <c r="K215" s="266"/>
      <c r="L215" s="266"/>
    </row>
    <row r="216" spans="7:12" x14ac:dyDescent="0.25">
      <c r="G216" s="266"/>
      <c r="H216" s="266"/>
      <c r="I216" s="266"/>
      <c r="J216" s="266"/>
      <c r="K216" s="266"/>
      <c r="L216" s="266"/>
    </row>
    <row r="217" spans="7:12" x14ac:dyDescent="0.25">
      <c r="G217" s="266"/>
      <c r="H217" s="266"/>
      <c r="I217" s="266"/>
      <c r="J217" s="266"/>
      <c r="K217" s="266"/>
      <c r="L217" s="266"/>
    </row>
    <row r="218" spans="7:12" x14ac:dyDescent="0.25">
      <c r="G218" s="266"/>
      <c r="H218" s="266"/>
      <c r="I218" s="266"/>
      <c r="J218" s="266"/>
      <c r="K218" s="266"/>
      <c r="L218" s="266"/>
    </row>
    <row r="219" spans="7:12" x14ac:dyDescent="0.25">
      <c r="G219" s="266"/>
      <c r="H219" s="266"/>
      <c r="I219" s="266"/>
      <c r="J219" s="266"/>
      <c r="K219" s="266"/>
      <c r="L219" s="266"/>
    </row>
    <row r="220" spans="7:12" x14ac:dyDescent="0.25">
      <c r="G220" s="266"/>
      <c r="H220" s="266"/>
      <c r="I220" s="266"/>
      <c r="J220" s="266"/>
      <c r="K220" s="266"/>
      <c r="L220" s="266"/>
    </row>
    <row r="221" spans="7:12" x14ac:dyDescent="0.25">
      <c r="G221" s="266"/>
      <c r="H221" s="266"/>
      <c r="I221" s="266"/>
      <c r="J221" s="266"/>
      <c r="K221" s="266"/>
      <c r="L221" s="266"/>
    </row>
    <row r="222" spans="7:12" x14ac:dyDescent="0.25">
      <c r="G222" s="266"/>
      <c r="H222" s="266"/>
      <c r="I222" s="266"/>
      <c r="J222" s="266"/>
      <c r="K222" s="266"/>
      <c r="L222" s="266"/>
    </row>
    <row r="223" spans="7:12" x14ac:dyDescent="0.25">
      <c r="G223" s="266"/>
      <c r="H223" s="266"/>
      <c r="I223" s="266"/>
      <c r="J223" s="266"/>
      <c r="K223" s="266"/>
      <c r="L223" s="266"/>
    </row>
    <row r="224" spans="7:12" x14ac:dyDescent="0.25">
      <c r="G224" s="266"/>
      <c r="H224" s="266"/>
      <c r="I224" s="266"/>
      <c r="J224" s="266"/>
      <c r="K224" s="266"/>
      <c r="L224" s="266"/>
    </row>
    <row r="225" spans="7:12" x14ac:dyDescent="0.25">
      <c r="G225" s="266"/>
      <c r="H225" s="266"/>
      <c r="I225" s="266"/>
      <c r="J225" s="266"/>
      <c r="K225" s="266"/>
      <c r="L225" s="266"/>
    </row>
    <row r="226" spans="7:12" x14ac:dyDescent="0.25">
      <c r="G226" s="266"/>
      <c r="H226" s="266"/>
      <c r="I226" s="266"/>
      <c r="J226" s="266"/>
      <c r="K226" s="266"/>
      <c r="L226" s="266"/>
    </row>
    <row r="227" spans="7:12" x14ac:dyDescent="0.25">
      <c r="G227" s="266"/>
      <c r="H227" s="266"/>
      <c r="I227" s="266"/>
      <c r="J227" s="266"/>
      <c r="K227" s="266"/>
      <c r="L227" s="266"/>
    </row>
    <row r="228" spans="7:12" x14ac:dyDescent="0.25">
      <c r="G228" s="266"/>
      <c r="H228" s="266"/>
      <c r="I228" s="266"/>
      <c r="J228" s="266"/>
      <c r="K228" s="266"/>
      <c r="L228" s="266"/>
    </row>
    <row r="229" spans="7:12" x14ac:dyDescent="0.25">
      <c r="G229" s="266"/>
      <c r="H229" s="266"/>
      <c r="I229" s="266"/>
      <c r="J229" s="266"/>
      <c r="K229" s="266"/>
      <c r="L229" s="266"/>
    </row>
    <row r="230" spans="7:12" x14ac:dyDescent="0.25">
      <c r="G230" s="266"/>
      <c r="H230" s="266"/>
      <c r="I230" s="266"/>
      <c r="J230" s="266"/>
      <c r="K230" s="266"/>
      <c r="L230" s="266"/>
    </row>
    <row r="231" spans="7:12" x14ac:dyDescent="0.25">
      <c r="G231" s="266"/>
      <c r="H231" s="266"/>
      <c r="I231" s="266"/>
      <c r="J231" s="266"/>
      <c r="K231" s="266"/>
      <c r="L231" s="266"/>
    </row>
    <row r="232" spans="7:12" x14ac:dyDescent="0.25">
      <c r="G232" s="266"/>
      <c r="H232" s="266"/>
      <c r="I232" s="266"/>
      <c r="J232" s="266"/>
      <c r="K232" s="266"/>
      <c r="L232" s="266"/>
    </row>
    <row r="233" spans="7:12" x14ac:dyDescent="0.25">
      <c r="G233" s="266"/>
      <c r="H233" s="266"/>
      <c r="I233" s="266"/>
      <c r="J233" s="266"/>
      <c r="K233" s="266"/>
      <c r="L233" s="266"/>
    </row>
    <row r="234" spans="7:12" x14ac:dyDescent="0.25">
      <c r="G234" s="266"/>
      <c r="H234" s="266"/>
      <c r="I234" s="266"/>
      <c r="J234" s="266"/>
      <c r="K234" s="266"/>
      <c r="L234" s="266"/>
    </row>
    <row r="235" spans="7:12" x14ac:dyDescent="0.25">
      <c r="G235" s="266"/>
      <c r="H235" s="266"/>
      <c r="I235" s="266"/>
      <c r="J235" s="266"/>
      <c r="K235" s="266"/>
      <c r="L235" s="266"/>
    </row>
    <row r="236" spans="7:12" x14ac:dyDescent="0.25">
      <c r="G236" s="266"/>
      <c r="H236" s="266"/>
      <c r="I236" s="266"/>
      <c r="J236" s="266"/>
      <c r="K236" s="266"/>
      <c r="L236" s="266"/>
    </row>
    <row r="237" spans="7:12" x14ac:dyDescent="0.25">
      <c r="G237" s="266"/>
      <c r="H237" s="266"/>
      <c r="I237" s="266"/>
      <c r="J237" s="266"/>
      <c r="K237" s="266"/>
      <c r="L237" s="266"/>
    </row>
    <row r="238" spans="7:12" x14ac:dyDescent="0.25">
      <c r="G238" s="266"/>
      <c r="H238" s="266"/>
      <c r="I238" s="266"/>
      <c r="J238" s="266"/>
      <c r="K238" s="266"/>
      <c r="L238" s="266"/>
    </row>
    <row r="239" spans="7:12" x14ac:dyDescent="0.25">
      <c r="G239" s="266"/>
      <c r="H239" s="266"/>
      <c r="I239" s="266"/>
      <c r="J239" s="266"/>
      <c r="K239" s="266"/>
      <c r="L239" s="266"/>
    </row>
    <row r="240" spans="7:12" x14ac:dyDescent="0.25">
      <c r="G240" s="266"/>
      <c r="H240" s="266"/>
      <c r="I240" s="266"/>
      <c r="J240" s="266"/>
      <c r="K240" s="266"/>
      <c r="L240" s="266"/>
    </row>
    <row r="241" spans="7:12" x14ac:dyDescent="0.25">
      <c r="G241" s="266"/>
      <c r="H241" s="266"/>
      <c r="I241" s="266"/>
      <c r="J241" s="266"/>
      <c r="K241" s="266"/>
      <c r="L241" s="266"/>
    </row>
    <row r="242" spans="7:12" x14ac:dyDescent="0.25">
      <c r="G242" s="266"/>
      <c r="H242" s="266"/>
      <c r="I242" s="266"/>
      <c r="J242" s="266"/>
      <c r="K242" s="266"/>
      <c r="L242" s="266"/>
    </row>
    <row r="243" spans="7:12" x14ac:dyDescent="0.25">
      <c r="G243" s="266"/>
      <c r="H243" s="266"/>
      <c r="I243" s="266"/>
      <c r="J243" s="266"/>
      <c r="K243" s="266"/>
      <c r="L243" s="266"/>
    </row>
    <row r="244" spans="7:12" x14ac:dyDescent="0.25">
      <c r="G244" s="266"/>
      <c r="H244" s="266"/>
      <c r="I244" s="266"/>
      <c r="J244" s="266"/>
      <c r="K244" s="266"/>
      <c r="L244" s="266"/>
    </row>
    <row r="245" spans="7:12" x14ac:dyDescent="0.25">
      <c r="G245" s="266"/>
      <c r="H245" s="266"/>
      <c r="I245" s="266"/>
      <c r="J245" s="266"/>
      <c r="K245" s="266"/>
      <c r="L245" s="266"/>
    </row>
    <row r="246" spans="7:12" x14ac:dyDescent="0.25">
      <c r="G246" s="266"/>
      <c r="H246" s="266"/>
      <c r="I246" s="266"/>
      <c r="J246" s="266"/>
      <c r="K246" s="266"/>
      <c r="L246" s="266"/>
    </row>
    <row r="247" spans="7:12" x14ac:dyDescent="0.25">
      <c r="G247" s="266"/>
      <c r="H247" s="266"/>
      <c r="I247" s="266"/>
      <c r="J247" s="266"/>
      <c r="K247" s="266"/>
      <c r="L247" s="266"/>
    </row>
    <row r="248" spans="7:12" x14ac:dyDescent="0.25">
      <c r="G248" s="266"/>
      <c r="H248" s="266"/>
      <c r="I248" s="266"/>
      <c r="J248" s="266"/>
      <c r="K248" s="266"/>
      <c r="L248" s="266"/>
    </row>
    <row r="249" spans="7:12" x14ac:dyDescent="0.25">
      <c r="G249" s="266"/>
      <c r="H249" s="266"/>
      <c r="I249" s="266"/>
      <c r="J249" s="266"/>
      <c r="K249" s="266"/>
      <c r="L249" s="266"/>
    </row>
    <row r="250" spans="7:12" x14ac:dyDescent="0.25">
      <c r="G250" s="266"/>
      <c r="H250" s="266"/>
      <c r="I250" s="266"/>
      <c r="J250" s="266"/>
      <c r="K250" s="266"/>
      <c r="L250" s="266"/>
    </row>
    <row r="251" spans="7:12" x14ac:dyDescent="0.25">
      <c r="G251" s="266"/>
      <c r="H251" s="266"/>
      <c r="I251" s="266"/>
      <c r="J251" s="266"/>
      <c r="K251" s="266"/>
      <c r="L251" s="266"/>
    </row>
    <row r="252" spans="7:12" x14ac:dyDescent="0.25">
      <c r="G252" s="266"/>
      <c r="H252" s="266"/>
      <c r="I252" s="266"/>
      <c r="J252" s="266"/>
      <c r="K252" s="266"/>
      <c r="L252" s="266"/>
    </row>
    <row r="253" spans="7:12" x14ac:dyDescent="0.25">
      <c r="G253" s="266"/>
      <c r="H253" s="266"/>
      <c r="I253" s="266"/>
      <c r="J253" s="266"/>
      <c r="K253" s="266"/>
      <c r="L253" s="266"/>
    </row>
    <row r="254" spans="7:12" x14ac:dyDescent="0.25">
      <c r="G254" s="266"/>
      <c r="H254" s="266"/>
      <c r="I254" s="266"/>
      <c r="J254" s="266"/>
      <c r="K254" s="266"/>
      <c r="L254" s="266"/>
    </row>
    <row r="255" spans="7:12" x14ac:dyDescent="0.25">
      <c r="G255" s="266"/>
      <c r="H255" s="266"/>
      <c r="I255" s="266"/>
      <c r="J255" s="266"/>
      <c r="K255" s="266"/>
      <c r="L255" s="266"/>
    </row>
    <row r="256" spans="7:12" x14ac:dyDescent="0.25">
      <c r="G256" s="266"/>
      <c r="H256" s="266"/>
      <c r="I256" s="266"/>
      <c r="J256" s="266"/>
      <c r="K256" s="266"/>
      <c r="L256" s="266"/>
    </row>
    <row r="257" spans="7:12" x14ac:dyDescent="0.25">
      <c r="G257" s="266"/>
      <c r="H257" s="266"/>
      <c r="I257" s="266"/>
      <c r="J257" s="266"/>
      <c r="K257" s="266"/>
      <c r="L257" s="266"/>
    </row>
    <row r="258" spans="7:12" x14ac:dyDescent="0.25">
      <c r="G258" s="266"/>
      <c r="H258" s="266"/>
      <c r="I258" s="266"/>
      <c r="J258" s="266"/>
      <c r="K258" s="266"/>
      <c r="L258" s="266"/>
    </row>
    <row r="259" spans="7:12" x14ac:dyDescent="0.25">
      <c r="G259" s="266"/>
      <c r="H259" s="266"/>
      <c r="I259" s="266"/>
      <c r="J259" s="266"/>
      <c r="K259" s="266"/>
      <c r="L259" s="266"/>
    </row>
    <row r="260" spans="7:12" x14ac:dyDescent="0.25">
      <c r="G260" s="266"/>
      <c r="H260" s="266"/>
      <c r="I260" s="266"/>
      <c r="J260" s="266"/>
      <c r="K260" s="266"/>
      <c r="L260" s="266"/>
    </row>
    <row r="261" spans="7:12" x14ac:dyDescent="0.25">
      <c r="G261" s="266"/>
      <c r="H261" s="266"/>
      <c r="I261" s="266"/>
      <c r="J261" s="266"/>
      <c r="K261" s="266"/>
      <c r="L261" s="266"/>
    </row>
    <row r="262" spans="7:12" x14ac:dyDescent="0.25">
      <c r="G262" s="266"/>
      <c r="H262" s="266"/>
      <c r="I262" s="266"/>
      <c r="J262" s="266"/>
      <c r="K262" s="266"/>
      <c r="L262" s="266"/>
    </row>
    <row r="263" spans="7:12" x14ac:dyDescent="0.25">
      <c r="G263" s="266"/>
      <c r="H263" s="266"/>
      <c r="I263" s="266"/>
      <c r="J263" s="266"/>
      <c r="K263" s="266"/>
      <c r="L263" s="266"/>
    </row>
    <row r="264" spans="7:12" x14ac:dyDescent="0.25">
      <c r="G264" s="266"/>
      <c r="H264" s="266"/>
      <c r="I264" s="266"/>
      <c r="J264" s="266"/>
      <c r="K264" s="266"/>
      <c r="L264" s="266"/>
    </row>
    <row r="265" spans="7:12" x14ac:dyDescent="0.25">
      <c r="G265" s="266"/>
      <c r="H265" s="266"/>
      <c r="I265" s="266"/>
      <c r="J265" s="266"/>
      <c r="K265" s="266"/>
      <c r="L265" s="266"/>
    </row>
    <row r="266" spans="7:12" x14ac:dyDescent="0.25">
      <c r="G266" s="266"/>
      <c r="H266" s="266"/>
      <c r="I266" s="266"/>
      <c r="J266" s="266"/>
      <c r="K266" s="266"/>
      <c r="L266" s="266"/>
    </row>
    <row r="267" spans="7:12" x14ac:dyDescent="0.25">
      <c r="G267" s="266"/>
      <c r="H267" s="266"/>
      <c r="I267" s="266"/>
      <c r="J267" s="266"/>
      <c r="K267" s="266"/>
      <c r="L267" s="266"/>
    </row>
    <row r="268" spans="7:12" x14ac:dyDescent="0.25">
      <c r="G268" s="266"/>
      <c r="H268" s="266"/>
      <c r="I268" s="266"/>
      <c r="J268" s="266"/>
      <c r="K268" s="266"/>
      <c r="L268" s="266"/>
    </row>
    <row r="269" spans="7:12" x14ac:dyDescent="0.25">
      <c r="G269" s="266"/>
      <c r="H269" s="266"/>
      <c r="I269" s="266"/>
      <c r="J269" s="266"/>
      <c r="K269" s="266"/>
      <c r="L269" s="266"/>
    </row>
    <row r="270" spans="7:12" x14ac:dyDescent="0.25">
      <c r="G270" s="266"/>
      <c r="H270" s="266"/>
      <c r="I270" s="266"/>
      <c r="J270" s="266"/>
      <c r="K270" s="266"/>
      <c r="L270" s="266"/>
    </row>
    <row r="271" spans="7:12" x14ac:dyDescent="0.25">
      <c r="G271" s="266"/>
      <c r="H271" s="266"/>
      <c r="I271" s="266"/>
      <c r="J271" s="266"/>
      <c r="K271" s="266"/>
      <c r="L271" s="266"/>
    </row>
    <row r="272" spans="7:12" x14ac:dyDescent="0.25">
      <c r="G272" s="266"/>
      <c r="H272" s="266"/>
      <c r="I272" s="266"/>
      <c r="J272" s="266"/>
      <c r="K272" s="266"/>
      <c r="L272" s="266"/>
    </row>
    <row r="273" spans="7:12" x14ac:dyDescent="0.25">
      <c r="G273" s="266"/>
      <c r="H273" s="266"/>
      <c r="I273" s="266"/>
      <c r="J273" s="266"/>
      <c r="K273" s="266"/>
      <c r="L273" s="266"/>
    </row>
    <row r="274" spans="7:12" x14ac:dyDescent="0.25">
      <c r="G274" s="266"/>
      <c r="H274" s="266"/>
      <c r="I274" s="266"/>
      <c r="J274" s="266"/>
      <c r="K274" s="266"/>
      <c r="L274" s="266"/>
    </row>
    <row r="275" spans="7:12" x14ac:dyDescent="0.25">
      <c r="G275" s="266"/>
      <c r="H275" s="266"/>
      <c r="I275" s="266"/>
      <c r="J275" s="266"/>
      <c r="K275" s="266"/>
      <c r="L275" s="266"/>
    </row>
    <row r="276" spans="7:12" x14ac:dyDescent="0.25">
      <c r="G276" s="266"/>
      <c r="H276" s="266"/>
      <c r="I276" s="266"/>
      <c r="J276" s="266"/>
      <c r="K276" s="266"/>
      <c r="L276" s="266"/>
    </row>
    <row r="277" spans="7:12" x14ac:dyDescent="0.25">
      <c r="G277" s="266"/>
      <c r="H277" s="266"/>
      <c r="I277" s="266"/>
      <c r="J277" s="266"/>
      <c r="K277" s="266"/>
      <c r="L277" s="266"/>
    </row>
    <row r="278" spans="7:12" x14ac:dyDescent="0.25">
      <c r="G278" s="266"/>
      <c r="H278" s="266"/>
      <c r="I278" s="266"/>
      <c r="J278" s="266"/>
      <c r="K278" s="266"/>
      <c r="L278" s="266"/>
    </row>
  </sheetData>
  <dataConsolidate/>
  <conditionalFormatting sqref="D37">
    <cfRule type="containsText" dxfId="202" priority="216" operator="containsText" text="NYK">
      <formula>NOT(ISERROR(SEARCH("NYK",D37)))</formula>
    </cfRule>
  </conditionalFormatting>
  <conditionalFormatting sqref="D63">
    <cfRule type="containsText" dxfId="201" priority="213" operator="containsText" text="NYK">
      <formula>NOT(ISERROR(SEARCH("NYK",D63)))</formula>
    </cfRule>
  </conditionalFormatting>
  <conditionalFormatting sqref="F9:F21">
    <cfRule type="containsText" dxfId="200" priority="201" operator="containsText" text="Not OK">
      <formula>NOT(ISERROR(SEARCH("Not OK",F9)))</formula>
    </cfRule>
    <cfRule type="containsText" dxfId="199" priority="202" operator="containsText" text="Queries">
      <formula>NOT(ISERROR(SEARCH("Queries",F9)))</formula>
    </cfRule>
    <cfRule type="containsText" dxfId="198" priority="203" operator="containsText" text="OK">
      <formula>NOT(ISERROR(SEARCH("OK",F9)))</formula>
    </cfRule>
    <cfRule type="containsText" dxfId="197" priority="204" operator="containsText" text="NYA">
      <formula>NOT(ISERROR(SEARCH("NYA",F9)))</formula>
    </cfRule>
  </conditionalFormatting>
  <conditionalFormatting sqref="D68">
    <cfRule type="containsText" dxfId="196" priority="156" operator="containsText" text="Other">
      <formula>NOT(ISERROR(SEARCH("Other",D68)))</formula>
    </cfRule>
    <cfRule type="containsText" dxfId="195" priority="157" operator="containsText" text="EEA">
      <formula>NOT(ISERROR(SEARCH("EEA",D68)))</formula>
    </cfRule>
    <cfRule type="containsText" dxfId="194" priority="158" operator="containsText" text="UK">
      <formula>NOT(ISERROR(SEARCH("UK",D68)))</formula>
    </cfRule>
    <cfRule type="containsText" dxfId="193" priority="159" operator="containsText" text="Wales">
      <formula>NOT(ISERROR(SEARCH("Wales",D68)))</formula>
    </cfRule>
    <cfRule type="containsText" dxfId="192" priority="160" operator="containsText" text="England">
      <formula>NOT(ISERROR(SEARCH("England",D68)))</formula>
    </cfRule>
  </conditionalFormatting>
  <conditionalFormatting sqref="D17">
    <cfRule type="containsText" dxfId="191" priority="105" operator="containsText" text="NYA">
      <formula>NOT(ISERROR(SEARCH("NYA",D17)))</formula>
    </cfRule>
  </conditionalFormatting>
  <conditionalFormatting sqref="D39">
    <cfRule type="containsText" dxfId="190" priority="104" operator="containsText" text="NYK">
      <formula>NOT(ISERROR(SEARCH("NYK",D39)))</formula>
    </cfRule>
  </conditionalFormatting>
  <conditionalFormatting sqref="D71">
    <cfRule type="containsText" dxfId="189" priority="99" operator="containsText" text="Other">
      <formula>NOT(ISERROR(SEARCH("Other",D71)))</formula>
    </cfRule>
    <cfRule type="containsText" dxfId="188" priority="100" operator="containsText" text="EEA">
      <formula>NOT(ISERROR(SEARCH("EEA",D71)))</formula>
    </cfRule>
    <cfRule type="containsText" dxfId="187" priority="101" operator="containsText" text="UK">
      <formula>NOT(ISERROR(SEARCH("UK",D71)))</formula>
    </cfRule>
    <cfRule type="containsText" dxfId="186" priority="102" operator="containsText" text="Wales">
      <formula>NOT(ISERROR(SEARCH("Wales",D71)))</formula>
    </cfRule>
    <cfRule type="containsText" dxfId="185" priority="103" operator="containsText" text="England">
      <formula>NOT(ISERROR(SEARCH("England",D71)))</formula>
    </cfRule>
  </conditionalFormatting>
  <conditionalFormatting sqref="D73">
    <cfRule type="containsText" dxfId="184" priority="94" operator="containsText" text="Other">
      <formula>NOT(ISERROR(SEARCH("Other",D73)))</formula>
    </cfRule>
    <cfRule type="containsText" dxfId="183" priority="95" operator="containsText" text="EEA">
      <formula>NOT(ISERROR(SEARCH("EEA",D73)))</formula>
    </cfRule>
    <cfRule type="containsText" dxfId="182" priority="96" operator="containsText" text="UK">
      <formula>NOT(ISERROR(SEARCH("UK",D73)))</formula>
    </cfRule>
    <cfRule type="containsText" dxfId="181" priority="97" operator="containsText" text="Wales">
      <formula>NOT(ISERROR(SEARCH("Wales",D73)))</formula>
    </cfRule>
    <cfRule type="containsText" dxfId="180" priority="98" operator="containsText" text="England">
      <formula>NOT(ISERROR(SEARCH("England",D73)))</formula>
    </cfRule>
  </conditionalFormatting>
  <conditionalFormatting sqref="D76">
    <cfRule type="containsText" dxfId="179" priority="93" operator="containsText" text="NYA">
      <formula>NOT(ISERROR(SEARCH("NYA",D76)))</formula>
    </cfRule>
  </conditionalFormatting>
  <conditionalFormatting sqref="D18">
    <cfRule type="containsText" dxfId="178" priority="92" operator="containsText" text="NYA">
      <formula>NOT(ISERROR(SEARCH("NYA",D18)))</formula>
    </cfRule>
  </conditionalFormatting>
  <conditionalFormatting sqref="F23:F24">
    <cfRule type="containsText" dxfId="177" priority="42" operator="containsText" text="Not OK">
      <formula>NOT(ISERROR(SEARCH("Not OK",F23)))</formula>
    </cfRule>
    <cfRule type="containsText" dxfId="176" priority="43" operator="containsText" text="Queries">
      <formula>NOT(ISERROR(SEARCH("Queries",F23)))</formula>
    </cfRule>
    <cfRule type="containsText" dxfId="175" priority="44" operator="containsText" text="OK">
      <formula>NOT(ISERROR(SEARCH("OK",F23)))</formula>
    </cfRule>
    <cfRule type="containsText" dxfId="174" priority="45" operator="containsText" text="NYA">
      <formula>NOT(ISERROR(SEARCH("NYA",F23)))</formula>
    </cfRule>
  </conditionalFormatting>
  <conditionalFormatting sqref="F26:F28">
    <cfRule type="containsText" dxfId="173" priority="38" operator="containsText" text="Not OK">
      <formula>NOT(ISERROR(SEARCH("Not OK",F26)))</formula>
    </cfRule>
    <cfRule type="containsText" dxfId="172" priority="39" operator="containsText" text="Queries">
      <formula>NOT(ISERROR(SEARCH("Queries",F26)))</formula>
    </cfRule>
    <cfRule type="containsText" dxfId="171" priority="40" operator="containsText" text="OK">
      <formula>NOT(ISERROR(SEARCH("OK",F26)))</formula>
    </cfRule>
    <cfRule type="containsText" dxfId="170" priority="41" operator="containsText" text="NYA">
      <formula>NOT(ISERROR(SEARCH("NYA",F26)))</formula>
    </cfRule>
  </conditionalFormatting>
  <conditionalFormatting sqref="F30:F32">
    <cfRule type="containsText" dxfId="169" priority="34" operator="containsText" text="Not OK">
      <formula>NOT(ISERROR(SEARCH("Not OK",F30)))</formula>
    </cfRule>
    <cfRule type="containsText" dxfId="168" priority="35" operator="containsText" text="Queries">
      <formula>NOT(ISERROR(SEARCH("Queries",F30)))</formula>
    </cfRule>
    <cfRule type="containsText" dxfId="167" priority="36" operator="containsText" text="OK">
      <formula>NOT(ISERROR(SEARCH("OK",F30)))</formula>
    </cfRule>
    <cfRule type="containsText" dxfId="166" priority="37" operator="containsText" text="NYA">
      <formula>NOT(ISERROR(SEARCH("NYA",F30)))</formula>
    </cfRule>
  </conditionalFormatting>
  <conditionalFormatting sqref="F34">
    <cfRule type="containsText" dxfId="165" priority="30" operator="containsText" text="Not OK">
      <formula>NOT(ISERROR(SEARCH("Not OK",F34)))</formula>
    </cfRule>
    <cfRule type="containsText" dxfId="164" priority="31" operator="containsText" text="Queries">
      <formula>NOT(ISERROR(SEARCH("Queries",F34)))</formula>
    </cfRule>
    <cfRule type="containsText" dxfId="163" priority="32" operator="containsText" text="OK">
      <formula>NOT(ISERROR(SEARCH("OK",F34)))</formula>
    </cfRule>
    <cfRule type="containsText" dxfId="162" priority="33" operator="containsText" text="NYA">
      <formula>NOT(ISERROR(SEARCH("NYA",F34)))</formula>
    </cfRule>
  </conditionalFormatting>
  <conditionalFormatting sqref="F36:F41">
    <cfRule type="containsText" dxfId="161" priority="26" operator="containsText" text="Not OK">
      <formula>NOT(ISERROR(SEARCH("Not OK",F36)))</formula>
    </cfRule>
    <cfRule type="containsText" dxfId="160" priority="27" operator="containsText" text="Queries">
      <formula>NOT(ISERROR(SEARCH("Queries",F36)))</formula>
    </cfRule>
    <cfRule type="containsText" dxfId="159" priority="28" operator="containsText" text="OK">
      <formula>NOT(ISERROR(SEARCH("OK",F36)))</formula>
    </cfRule>
    <cfRule type="containsText" dxfId="158" priority="29" operator="containsText" text="NYA">
      <formula>NOT(ISERROR(SEARCH("NYA",F36)))</formula>
    </cfRule>
  </conditionalFormatting>
  <conditionalFormatting sqref="F43:F48">
    <cfRule type="containsText" dxfId="157" priority="22" operator="containsText" text="Not OK">
      <formula>NOT(ISERROR(SEARCH("Not OK",F43)))</formula>
    </cfRule>
    <cfRule type="containsText" dxfId="156" priority="23" operator="containsText" text="Queries">
      <formula>NOT(ISERROR(SEARCH("Queries",F43)))</formula>
    </cfRule>
    <cfRule type="containsText" dxfId="155" priority="24" operator="containsText" text="OK">
      <formula>NOT(ISERROR(SEARCH("OK",F43)))</formula>
    </cfRule>
    <cfRule type="containsText" dxfId="154" priority="25" operator="containsText" text="NYA">
      <formula>NOT(ISERROR(SEARCH("NYA",F43)))</formula>
    </cfRule>
  </conditionalFormatting>
  <conditionalFormatting sqref="F50:F52">
    <cfRule type="containsText" dxfId="153" priority="18" operator="containsText" text="Not OK">
      <formula>NOT(ISERROR(SEARCH("Not OK",F50)))</formula>
    </cfRule>
    <cfRule type="containsText" dxfId="152" priority="19" operator="containsText" text="Queries">
      <formula>NOT(ISERROR(SEARCH("Queries",F50)))</formula>
    </cfRule>
    <cfRule type="containsText" dxfId="151" priority="20" operator="containsText" text="OK">
      <formula>NOT(ISERROR(SEARCH("OK",F50)))</formula>
    </cfRule>
    <cfRule type="containsText" dxfId="150" priority="21" operator="containsText" text="NYA">
      <formula>NOT(ISERROR(SEARCH("NYA",F50)))</formula>
    </cfRule>
  </conditionalFormatting>
  <conditionalFormatting sqref="F54:F58">
    <cfRule type="containsText" dxfId="149" priority="14" operator="containsText" text="Not OK">
      <formula>NOT(ISERROR(SEARCH("Not OK",F54)))</formula>
    </cfRule>
    <cfRule type="containsText" dxfId="148" priority="15" operator="containsText" text="Queries">
      <formula>NOT(ISERROR(SEARCH("Queries",F54)))</formula>
    </cfRule>
    <cfRule type="containsText" dxfId="147" priority="16" operator="containsText" text="OK">
      <formula>NOT(ISERROR(SEARCH("OK",F54)))</formula>
    </cfRule>
    <cfRule type="containsText" dxfId="146" priority="17" operator="containsText" text="NYA">
      <formula>NOT(ISERROR(SEARCH("NYA",F54)))</formula>
    </cfRule>
  </conditionalFormatting>
  <conditionalFormatting sqref="F60:F74">
    <cfRule type="containsText" dxfId="145" priority="10" operator="containsText" text="Not OK">
      <formula>NOT(ISERROR(SEARCH("Not OK",F60)))</formula>
    </cfRule>
    <cfRule type="containsText" dxfId="144" priority="11" operator="containsText" text="Queries">
      <formula>NOT(ISERROR(SEARCH("Queries",F60)))</formula>
    </cfRule>
    <cfRule type="containsText" dxfId="143" priority="12" operator="containsText" text="OK">
      <formula>NOT(ISERROR(SEARCH("OK",F60)))</formula>
    </cfRule>
    <cfRule type="containsText" dxfId="142" priority="13" operator="containsText" text="NYA">
      <formula>NOT(ISERROR(SEARCH("NYA",F60)))</formula>
    </cfRule>
  </conditionalFormatting>
  <conditionalFormatting sqref="F76:F79">
    <cfRule type="containsText" dxfId="141" priority="6" operator="containsText" text="Not OK">
      <formula>NOT(ISERROR(SEARCH("Not OK",F76)))</formula>
    </cfRule>
    <cfRule type="containsText" dxfId="140" priority="7" operator="containsText" text="Queries">
      <formula>NOT(ISERROR(SEARCH("Queries",F76)))</formula>
    </cfRule>
    <cfRule type="containsText" dxfId="139" priority="8" operator="containsText" text="OK">
      <formula>NOT(ISERROR(SEARCH("OK",F76)))</formula>
    </cfRule>
    <cfRule type="containsText" dxfId="138" priority="9" operator="containsText" text="NYA">
      <formula>NOT(ISERROR(SEARCH("NYA",F76)))</formula>
    </cfRule>
  </conditionalFormatting>
  <conditionalFormatting sqref="F81:F87">
    <cfRule type="containsText" dxfId="137" priority="2" operator="containsText" text="Not OK">
      <formula>NOT(ISERROR(SEARCH("Not OK",F81)))</formula>
    </cfRule>
    <cfRule type="containsText" dxfId="136" priority="3" operator="containsText" text="Queries">
      <formula>NOT(ISERROR(SEARCH("Queries",F81)))</formula>
    </cfRule>
    <cfRule type="containsText" dxfId="135" priority="4" operator="containsText" text="OK">
      <formula>NOT(ISERROR(SEARCH("OK",F81)))</formula>
    </cfRule>
    <cfRule type="containsText" dxfId="134" priority="5" operator="containsText" text="NYA">
      <formula>NOT(ISERROR(SEARCH("NYA",F81)))</formula>
    </cfRule>
  </conditionalFormatting>
  <conditionalFormatting sqref="D61">
    <cfRule type="containsText" dxfId="133" priority="1" operator="containsText" text="NYK">
      <formula>NOT(ISERROR(SEARCH("NYK",D61)))</formula>
    </cfRule>
  </conditionalFormatting>
  <dataValidations count="5">
    <dataValidation type="list" allowBlank="1" showInputMessage="1" showErrorMessage="1" sqref="E79">
      <formula1>#REF!</formula1>
    </dataValidation>
    <dataValidation type="list" allowBlank="1" showInputMessage="1" showErrorMessage="1" sqref="D37 D39">
      <formula1>AccessMethod</formula1>
    </dataValidation>
    <dataValidation type="list" allowBlank="1" showInputMessage="1" showErrorMessage="1" sqref="D63 D61">
      <formula1>IGTResult</formula1>
    </dataValidation>
    <dataValidation type="list" allowBlank="1" showInputMessage="1" showErrorMessage="1" sqref="D68 D71 D73">
      <formula1>Jurisdiction</formula1>
    </dataValidation>
    <dataValidation type="list" allowBlank="1" showInputMessage="1" showErrorMessage="1" sqref="D18">
      <formula1>NHSorNot</formula1>
    </dataValidation>
  </dataValidations>
  <hyperlinks>
    <hyperlink ref="C1" location="Introduction!A1" display="Back to introduction"/>
  </hyperlinks>
  <pageMargins left="0.75" right="0.75" top="1" bottom="1" header="0.5" footer="0.5"/>
  <pageSetup paperSize="8" scale="85" fitToHeight="5" orientation="landscape"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promptTitle="Org Type" prompt="Select ...">
          <x14:formula1>
            <xm:f>Lists!$B$14:$B$37</xm:f>
          </x14:formula1>
          <xm:sqref>D76 D17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Y33"/>
  <sheetViews>
    <sheetView zoomScale="80" zoomScaleNormal="80" workbookViewId="0">
      <selection activeCell="I1" sqref="I1"/>
    </sheetView>
  </sheetViews>
  <sheetFormatPr defaultRowHeight="13.2" x14ac:dyDescent="0.25"/>
  <cols>
    <col min="1" max="1" width="2" customWidth="1"/>
    <col min="2" max="2" width="1.33203125" customWidth="1"/>
    <col min="3" max="3" width="26.33203125" customWidth="1"/>
    <col min="4" max="4" width="10.33203125" customWidth="1"/>
    <col min="5" max="5" width="28" customWidth="1"/>
    <col min="6" max="6" width="10.109375" customWidth="1"/>
    <col min="7" max="7" width="1.33203125" customWidth="1"/>
    <col min="8" max="8" width="40.5546875" customWidth="1"/>
    <col min="9" max="9" width="4.5546875" customWidth="1"/>
    <col min="10" max="11" width="5.109375" hidden="1" customWidth="1"/>
    <col min="12" max="12" width="9.88671875" hidden="1" customWidth="1"/>
    <col min="13" max="13" width="7" customWidth="1"/>
    <col min="18" max="18" width="19.44140625" customWidth="1"/>
    <col min="19" max="19" width="6.5546875" customWidth="1"/>
    <col min="21" max="21" width="7.88671875" customWidth="1"/>
    <col min="25" max="25" width="21.88671875" customWidth="1"/>
    <col min="26" max="26" width="19.6640625" customWidth="1"/>
  </cols>
  <sheetData>
    <row r="1" spans="2:25" s="3" customFormat="1" ht="17.399999999999999" x14ac:dyDescent="0.25">
      <c r="B1" s="1" t="s">
        <v>285</v>
      </c>
      <c r="C1" s="1"/>
      <c r="D1" s="2"/>
      <c r="E1" s="4"/>
      <c r="I1" s="443" t="s">
        <v>1098</v>
      </c>
      <c r="M1" s="12"/>
    </row>
    <row r="2" spans="2:25" s="3" customFormat="1" ht="17.399999999999999" x14ac:dyDescent="0.25">
      <c r="B2" s="1"/>
      <c r="C2" s="1"/>
      <c r="D2" s="2"/>
      <c r="E2" s="4"/>
      <c r="M2" s="12"/>
    </row>
    <row r="3" spans="2:25" s="3" customFormat="1" ht="17.399999999999999" x14ac:dyDescent="0.25">
      <c r="B3" s="1"/>
      <c r="C3" s="2" t="s">
        <v>624</v>
      </c>
      <c r="D3" s="2"/>
      <c r="E3" s="4"/>
      <c r="M3" s="12"/>
    </row>
    <row r="4" spans="2:25" s="3" customFormat="1" x14ac:dyDescent="0.25">
      <c r="B4" s="207"/>
      <c r="C4" s="2" t="s">
        <v>626</v>
      </c>
      <c r="D4" s="208"/>
      <c r="E4" s="208"/>
    </row>
    <row r="5" spans="2:25" s="9" customFormat="1" x14ac:dyDescent="0.25">
      <c r="B5" s="207"/>
      <c r="C5" s="2" t="s">
        <v>625</v>
      </c>
      <c r="D5" s="208"/>
      <c r="E5" s="208"/>
      <c r="J5" s="11"/>
    </row>
    <row r="6" spans="2:25" s="9" customFormat="1" x14ac:dyDescent="0.25">
      <c r="B6" s="207"/>
      <c r="C6" s="207"/>
      <c r="D6" s="208"/>
      <c r="E6" s="208"/>
      <c r="J6" s="11"/>
    </row>
    <row r="7" spans="2:25" ht="13.5" customHeight="1" thickBot="1" x14ac:dyDescent="0.3">
      <c r="M7" s="21"/>
      <c r="V7" s="21"/>
      <c r="W7" s="21"/>
      <c r="X7" s="21"/>
      <c r="Y7" s="21"/>
    </row>
    <row r="8" spans="2:25" ht="18.75" customHeight="1" x14ac:dyDescent="0.3">
      <c r="B8" s="22" t="s">
        <v>126</v>
      </c>
      <c r="C8" s="14"/>
      <c r="D8" s="14"/>
      <c r="E8" s="14"/>
      <c r="F8" s="14"/>
      <c r="G8" s="514"/>
      <c r="H8" s="514"/>
      <c r="I8" s="514"/>
      <c r="J8" s="514"/>
      <c r="K8" s="14"/>
      <c r="L8" s="14"/>
      <c r="M8" s="34"/>
      <c r="N8" s="276" t="s">
        <v>127</v>
      </c>
      <c r="O8" s="14"/>
      <c r="P8" s="14"/>
      <c r="Q8" s="14"/>
      <c r="R8" s="14"/>
      <c r="S8" s="14"/>
      <c r="T8" s="14"/>
      <c r="U8" s="14"/>
      <c r="V8" s="14"/>
      <c r="W8" s="14"/>
      <c r="X8" s="14"/>
      <c r="Y8" s="34"/>
    </row>
    <row r="9" spans="2:25" ht="10.5" customHeight="1" thickBot="1" x14ac:dyDescent="0.35">
      <c r="B9" s="23"/>
      <c r="C9" s="16"/>
      <c r="D9" s="16"/>
      <c r="E9" s="16"/>
      <c r="F9" s="16"/>
      <c r="G9" s="16"/>
      <c r="H9" s="16"/>
      <c r="I9" s="16"/>
      <c r="J9" s="16"/>
      <c r="K9" s="16"/>
      <c r="L9" s="16"/>
      <c r="M9" s="277"/>
      <c r="N9" s="16"/>
      <c r="O9" s="16"/>
      <c r="P9" s="16"/>
      <c r="Q9" s="16"/>
      <c r="R9" s="16"/>
      <c r="S9" s="16"/>
      <c r="T9" s="16"/>
      <c r="U9" s="16"/>
      <c r="V9" s="16"/>
      <c r="W9" s="16"/>
      <c r="X9" s="16"/>
      <c r="Y9" s="35"/>
    </row>
    <row r="10" spans="2:25" ht="15" customHeight="1" thickBot="1" x14ac:dyDescent="0.3">
      <c r="B10" s="15"/>
      <c r="C10" s="19"/>
      <c r="D10" s="16"/>
      <c r="E10" s="16"/>
      <c r="F10" s="16"/>
      <c r="G10" s="16"/>
      <c r="H10" s="32" t="s">
        <v>103</v>
      </c>
      <c r="I10" s="20" t="s">
        <v>102</v>
      </c>
      <c r="J10" s="16"/>
      <c r="K10" s="16"/>
      <c r="L10" s="16"/>
      <c r="M10" s="35"/>
      <c r="N10" s="16"/>
      <c r="O10" s="16"/>
      <c r="P10" s="16"/>
      <c r="Q10" s="16"/>
      <c r="R10" s="16"/>
      <c r="S10" s="515" t="s">
        <v>103</v>
      </c>
      <c r="T10" s="516"/>
      <c r="U10" s="516"/>
      <c r="V10" s="517"/>
      <c r="W10" s="36" t="s">
        <v>102</v>
      </c>
      <c r="X10" s="16"/>
      <c r="Y10" s="35"/>
    </row>
    <row r="11" spans="2:25" ht="12.75" customHeight="1" x14ac:dyDescent="0.25">
      <c r="B11" s="15"/>
      <c r="C11" s="16"/>
      <c r="D11" s="16"/>
      <c r="E11" s="16"/>
      <c r="F11" s="16"/>
      <c r="G11" s="16"/>
      <c r="H11" s="16"/>
      <c r="I11" s="16"/>
      <c r="J11" s="16"/>
      <c r="K11" s="16"/>
      <c r="L11" s="16"/>
      <c r="M11" s="35"/>
      <c r="N11" s="16"/>
      <c r="O11" s="16"/>
      <c r="P11" s="16"/>
      <c r="Q11" s="16"/>
      <c r="R11" s="16"/>
      <c r="S11" s="16"/>
      <c r="T11" s="16"/>
      <c r="U11" s="16"/>
      <c r="V11" s="16"/>
      <c r="W11" s="16"/>
      <c r="X11" s="16"/>
      <c r="Y11" s="35"/>
    </row>
    <row r="12" spans="2:25" ht="12.75" customHeight="1" x14ac:dyDescent="0.25">
      <c r="B12" s="15"/>
      <c r="C12" s="16"/>
      <c r="D12" s="16"/>
      <c r="E12" s="16"/>
      <c r="F12" s="16"/>
      <c r="G12" s="16"/>
      <c r="H12" s="16"/>
      <c r="I12" s="16"/>
      <c r="J12" s="16"/>
      <c r="K12" s="16"/>
      <c r="L12" s="16"/>
      <c r="M12" s="35"/>
      <c r="N12" s="16"/>
      <c r="O12" s="16"/>
      <c r="P12" s="16"/>
      <c r="Q12" s="16"/>
      <c r="R12" s="16"/>
      <c r="S12" s="16"/>
      <c r="T12" s="16"/>
      <c r="U12" s="16"/>
      <c r="V12" s="16"/>
      <c r="W12" s="16"/>
      <c r="X12" s="16"/>
      <c r="Y12" s="35"/>
    </row>
    <row r="13" spans="2:25" ht="12.75" customHeight="1" x14ac:dyDescent="0.25">
      <c r="B13" s="15"/>
      <c r="C13" s="16"/>
      <c r="D13" s="16"/>
      <c r="E13" s="16"/>
      <c r="F13" s="16"/>
      <c r="G13" s="16"/>
      <c r="H13" s="16"/>
      <c r="I13" s="16"/>
      <c r="J13" s="16"/>
      <c r="K13" s="16"/>
      <c r="L13" s="16"/>
      <c r="M13" s="35"/>
      <c r="N13" s="16"/>
      <c r="O13" s="16"/>
      <c r="P13" s="16"/>
      <c r="Q13" s="16"/>
      <c r="R13" s="16"/>
      <c r="S13" s="16"/>
      <c r="T13" s="16"/>
      <c r="U13" s="16"/>
      <c r="V13" s="16"/>
      <c r="W13" s="16"/>
      <c r="X13" s="16"/>
      <c r="Y13" s="35"/>
    </row>
    <row r="14" spans="2:25" ht="12.75" customHeight="1" x14ac:dyDescent="0.25">
      <c r="B14" s="15"/>
      <c r="C14" s="16"/>
      <c r="D14" s="16"/>
      <c r="E14" s="16"/>
      <c r="F14" s="16"/>
      <c r="G14" s="16"/>
      <c r="H14" s="16"/>
      <c r="I14" s="16"/>
      <c r="J14" s="16"/>
      <c r="K14" s="16"/>
      <c r="L14" s="16"/>
      <c r="M14" s="35"/>
      <c r="N14" s="16"/>
      <c r="O14" s="16"/>
      <c r="P14" s="16"/>
      <c r="Q14" s="16"/>
      <c r="R14" s="16"/>
      <c r="S14" s="16"/>
      <c r="T14" s="16"/>
      <c r="U14" s="16"/>
      <c r="V14" s="16"/>
      <c r="W14" s="16"/>
      <c r="X14" s="16"/>
      <c r="Y14" s="35"/>
    </row>
    <row r="15" spans="2:25" ht="12.75" customHeight="1" x14ac:dyDescent="0.25">
      <c r="B15" s="15"/>
      <c r="C15" s="16"/>
      <c r="D15" s="16"/>
      <c r="E15" s="16"/>
      <c r="F15" s="16"/>
      <c r="G15" s="16"/>
      <c r="H15" s="16"/>
      <c r="I15" s="16"/>
      <c r="J15" s="16"/>
      <c r="K15" s="16"/>
      <c r="L15" s="16"/>
      <c r="M15" s="35"/>
      <c r="N15" s="16"/>
      <c r="O15" s="16"/>
      <c r="P15" s="16"/>
      <c r="Q15" s="16"/>
      <c r="R15" s="16"/>
      <c r="S15" s="16"/>
      <c r="T15" s="16"/>
      <c r="U15" s="16"/>
      <c r="V15" s="16"/>
      <c r="W15" s="16"/>
      <c r="X15" s="16"/>
      <c r="Y15" s="35"/>
    </row>
    <row r="16" spans="2:25" ht="12.75" customHeight="1" x14ac:dyDescent="0.25">
      <c r="B16" s="15"/>
      <c r="C16" s="16"/>
      <c r="D16" s="16"/>
      <c r="E16" s="16"/>
      <c r="F16" s="16"/>
      <c r="G16" s="16"/>
      <c r="H16" s="16"/>
      <c r="I16" s="16"/>
      <c r="J16" s="16"/>
      <c r="K16" s="16"/>
      <c r="L16" s="16"/>
      <c r="M16" s="35"/>
      <c r="N16" s="16"/>
      <c r="O16" s="16"/>
      <c r="P16" s="16"/>
      <c r="Q16" s="16"/>
      <c r="R16" s="16"/>
      <c r="S16" s="16"/>
      <c r="T16" s="16"/>
      <c r="U16" s="16"/>
      <c r="V16" s="16"/>
      <c r="W16" s="16"/>
      <c r="X16" s="16"/>
      <c r="Y16" s="35"/>
    </row>
    <row r="17" spans="2:25" ht="12.75" customHeight="1" x14ac:dyDescent="0.25">
      <c r="B17" s="15"/>
      <c r="C17" s="16"/>
      <c r="D17" s="16"/>
      <c r="E17" s="16"/>
      <c r="F17" s="16"/>
      <c r="G17" s="16"/>
      <c r="H17" s="16"/>
      <c r="I17" s="16"/>
      <c r="J17" s="16"/>
      <c r="K17" s="16"/>
      <c r="L17" s="16"/>
      <c r="M17" s="35"/>
      <c r="N17" s="16"/>
      <c r="O17" s="16"/>
      <c r="P17" s="16"/>
      <c r="Q17" s="16"/>
      <c r="R17" s="16"/>
      <c r="S17" s="16"/>
      <c r="T17" s="16"/>
      <c r="U17" s="16"/>
      <c r="V17" s="16"/>
      <c r="W17" s="16"/>
      <c r="X17" s="16"/>
      <c r="Y17" s="35"/>
    </row>
    <row r="18" spans="2:25" ht="12.75" customHeight="1" x14ac:dyDescent="0.25">
      <c r="B18" s="15"/>
      <c r="C18" s="16"/>
      <c r="D18" s="16"/>
      <c r="E18" s="16"/>
      <c r="F18" s="16"/>
      <c r="G18" s="16"/>
      <c r="H18" s="16"/>
      <c r="I18" s="16"/>
      <c r="J18" s="16"/>
      <c r="K18" s="16"/>
      <c r="L18" s="16"/>
      <c r="M18" s="35"/>
      <c r="N18" s="16"/>
      <c r="O18" s="16"/>
      <c r="P18" s="16"/>
      <c r="Q18" s="16"/>
      <c r="R18" s="16"/>
      <c r="S18" s="16"/>
      <c r="T18" s="16"/>
      <c r="U18" s="16"/>
      <c r="V18" s="16"/>
      <c r="W18" s="16"/>
      <c r="X18" s="16"/>
      <c r="Y18" s="35"/>
    </row>
    <row r="19" spans="2:25" ht="12.75" customHeight="1" x14ac:dyDescent="0.25">
      <c r="B19" s="15"/>
      <c r="C19" s="16"/>
      <c r="D19" s="16"/>
      <c r="E19" s="16"/>
      <c r="F19" s="16"/>
      <c r="G19" s="16"/>
      <c r="H19" s="16"/>
      <c r="I19" s="16"/>
      <c r="J19" s="16"/>
      <c r="K19" s="16"/>
      <c r="L19" s="16"/>
      <c r="M19" s="35"/>
      <c r="N19" s="16"/>
      <c r="O19" s="16"/>
      <c r="P19" s="16"/>
      <c r="Q19" s="16"/>
      <c r="R19" s="16"/>
      <c r="S19" s="16"/>
      <c r="T19" s="16"/>
      <c r="U19" s="16"/>
      <c r="V19" s="16"/>
      <c r="W19" s="16"/>
      <c r="X19" s="16"/>
      <c r="Y19" s="35"/>
    </row>
    <row r="20" spans="2:25" ht="12.75" customHeight="1" x14ac:dyDescent="0.25">
      <c r="B20" s="15"/>
      <c r="C20" s="16"/>
      <c r="D20" s="16"/>
      <c r="E20" s="16"/>
      <c r="F20" s="16"/>
      <c r="G20" s="16"/>
      <c r="H20" s="16"/>
      <c r="I20" s="16"/>
      <c r="J20" s="16"/>
      <c r="K20" s="16"/>
      <c r="L20" s="16"/>
      <c r="M20" s="35"/>
      <c r="N20" s="16"/>
      <c r="O20" s="16"/>
      <c r="P20" s="16"/>
      <c r="Q20" s="16"/>
      <c r="R20" s="16"/>
      <c r="S20" s="16"/>
      <c r="T20" s="16"/>
      <c r="U20" s="16"/>
      <c r="V20" s="16"/>
      <c r="W20" s="16"/>
      <c r="X20" s="16"/>
      <c r="Y20" s="35"/>
    </row>
    <row r="21" spans="2:25" ht="12.75" customHeight="1" x14ac:dyDescent="0.25">
      <c r="B21" s="15"/>
      <c r="C21" s="16"/>
      <c r="D21" s="16"/>
      <c r="E21" s="16"/>
      <c r="F21" s="16"/>
      <c r="G21" s="16"/>
      <c r="H21" s="16"/>
      <c r="I21" s="16"/>
      <c r="J21" s="16"/>
      <c r="K21" s="16"/>
      <c r="L21" s="16"/>
      <c r="M21" s="35"/>
      <c r="N21" s="16"/>
      <c r="O21" s="16"/>
      <c r="P21" s="16"/>
      <c r="Q21" s="16"/>
      <c r="R21" s="16"/>
      <c r="S21" s="16"/>
      <c r="T21" s="16"/>
      <c r="U21" s="16"/>
      <c r="V21" s="16"/>
      <c r="W21" s="16"/>
      <c r="X21" s="16"/>
      <c r="Y21" s="35"/>
    </row>
    <row r="22" spans="2:25" ht="12.75" customHeight="1" x14ac:dyDescent="0.25">
      <c r="B22" s="15"/>
      <c r="C22" s="16"/>
      <c r="D22" s="16"/>
      <c r="E22" s="16"/>
      <c r="F22" s="16"/>
      <c r="G22" s="16"/>
      <c r="H22" s="16"/>
      <c r="I22" s="16"/>
      <c r="J22" s="16"/>
      <c r="K22" s="16"/>
      <c r="L22" s="16"/>
      <c r="M22" s="35"/>
      <c r="N22" s="16"/>
      <c r="O22" s="16"/>
      <c r="P22" s="16"/>
      <c r="Q22" s="16"/>
      <c r="R22" s="16"/>
      <c r="S22" s="16"/>
      <c r="T22" s="16"/>
      <c r="U22" s="16"/>
      <c r="V22" s="16"/>
      <c r="W22" s="16"/>
      <c r="X22" s="16"/>
      <c r="Y22" s="35"/>
    </row>
    <row r="23" spans="2:25" ht="12.75" customHeight="1" x14ac:dyDescent="0.25">
      <c r="B23" s="15"/>
      <c r="C23" s="16"/>
      <c r="D23" s="16"/>
      <c r="E23" s="16"/>
      <c r="F23" s="16"/>
      <c r="G23" s="16"/>
      <c r="H23" s="16"/>
      <c r="I23" s="16"/>
      <c r="J23" s="16"/>
      <c r="K23" s="16"/>
      <c r="L23" s="16"/>
      <c r="M23" s="35"/>
      <c r="N23" s="16"/>
      <c r="O23" s="16"/>
      <c r="P23" s="16"/>
      <c r="Q23" s="16"/>
      <c r="R23" s="16"/>
      <c r="S23" s="16"/>
      <c r="T23" s="16"/>
      <c r="U23" s="16"/>
      <c r="V23" s="16"/>
      <c r="W23" s="16"/>
      <c r="X23" s="16"/>
      <c r="Y23" s="35"/>
    </row>
    <row r="24" spans="2:25" ht="12.75" customHeight="1" x14ac:dyDescent="0.25">
      <c r="B24" s="15"/>
      <c r="C24" s="16"/>
      <c r="D24" s="16"/>
      <c r="E24" s="16"/>
      <c r="F24" s="16"/>
      <c r="G24" s="16"/>
      <c r="H24" s="16"/>
      <c r="I24" s="16"/>
      <c r="J24" s="16"/>
      <c r="K24" s="16"/>
      <c r="L24" s="16"/>
      <c r="M24" s="35"/>
      <c r="N24" s="16"/>
      <c r="O24" s="16"/>
      <c r="P24" s="16"/>
      <c r="Q24" s="16"/>
      <c r="R24" s="16"/>
      <c r="S24" s="16"/>
      <c r="T24" s="16"/>
      <c r="U24" s="16"/>
      <c r="V24" s="16"/>
      <c r="W24" s="16"/>
      <c r="X24" s="16"/>
      <c r="Y24" s="35"/>
    </row>
    <row r="25" spans="2:25" ht="14.25" customHeight="1" thickBot="1" x14ac:dyDescent="0.3">
      <c r="B25" s="17"/>
      <c r="C25" s="18"/>
      <c r="D25" s="18"/>
      <c r="E25" s="18"/>
      <c r="F25" s="18"/>
      <c r="G25" s="18"/>
      <c r="H25" s="18"/>
      <c r="I25" s="18"/>
      <c r="J25" s="18"/>
      <c r="K25" s="18"/>
      <c r="L25" s="18"/>
      <c r="M25" s="37"/>
      <c r="N25" s="18"/>
      <c r="O25" s="18"/>
      <c r="P25" s="18"/>
      <c r="Q25" s="18"/>
      <c r="R25" s="18"/>
      <c r="S25" s="18"/>
      <c r="T25" s="18"/>
      <c r="U25" s="18"/>
      <c r="V25" s="18"/>
      <c r="W25" s="18"/>
      <c r="X25" s="18"/>
      <c r="Y25" s="37"/>
    </row>
    <row r="28" spans="2:25" ht="13.8" x14ac:dyDescent="0.25">
      <c r="C28" s="168" t="s">
        <v>7</v>
      </c>
      <c r="D28" s="168"/>
      <c r="E28" s="518" t="s">
        <v>1</v>
      </c>
      <c r="F28" s="519"/>
      <c r="G28" s="519"/>
      <c r="H28" s="519" t="s">
        <v>3</v>
      </c>
      <c r="I28" s="519"/>
      <c r="J28" s="519"/>
      <c r="K28" s="519"/>
      <c r="L28" s="519"/>
      <c r="M28" s="521"/>
      <c r="N28" s="523" t="s">
        <v>2</v>
      </c>
      <c r="O28" s="524"/>
      <c r="P28" s="524"/>
      <c r="Q28" s="524"/>
      <c r="R28" s="524"/>
      <c r="S28" s="524"/>
      <c r="T28" s="524"/>
      <c r="U28" s="524"/>
      <c r="V28" s="524"/>
      <c r="W28" s="524"/>
      <c r="X28" s="524"/>
      <c r="Y28" s="179" t="s">
        <v>10</v>
      </c>
    </row>
    <row r="29" spans="2:25" ht="27.6" x14ac:dyDescent="0.25">
      <c r="C29" s="386" t="s">
        <v>455</v>
      </c>
      <c r="D29" s="387"/>
      <c r="E29" s="520"/>
      <c r="F29" s="520"/>
      <c r="G29" s="520"/>
      <c r="H29" s="522" t="s">
        <v>583</v>
      </c>
      <c r="I29" s="522"/>
      <c r="J29" s="522"/>
      <c r="K29" s="522"/>
      <c r="L29" s="522"/>
      <c r="M29" s="522"/>
      <c r="N29" s="525"/>
      <c r="O29" s="526"/>
      <c r="P29" s="526"/>
      <c r="Q29" s="526"/>
      <c r="R29" s="526"/>
      <c r="S29" s="526"/>
      <c r="T29" s="526"/>
      <c r="U29" s="526"/>
      <c r="V29" s="526"/>
      <c r="W29" s="526"/>
      <c r="X29" s="526"/>
      <c r="Y29" s="275"/>
    </row>
    <row r="30" spans="2:25" ht="55.5" customHeight="1" x14ac:dyDescent="0.25">
      <c r="C30" s="388"/>
      <c r="D30" s="389"/>
      <c r="E30" s="512" t="s">
        <v>456</v>
      </c>
      <c r="F30" s="512"/>
      <c r="G30" s="512"/>
      <c r="H30" s="513" t="s">
        <v>457</v>
      </c>
      <c r="I30" s="513"/>
      <c r="J30" s="513"/>
      <c r="K30" s="513"/>
      <c r="L30" s="513"/>
      <c r="M30" s="513"/>
      <c r="N30" s="509"/>
      <c r="O30" s="510"/>
      <c r="P30" s="510"/>
      <c r="Q30" s="510"/>
      <c r="R30" s="510"/>
      <c r="S30" s="510"/>
      <c r="T30" s="510"/>
      <c r="U30" s="510"/>
      <c r="V30" s="510"/>
      <c r="W30" s="510"/>
      <c r="X30" s="511"/>
      <c r="Y30" s="8" t="s">
        <v>55</v>
      </c>
    </row>
    <row r="31" spans="2:25" ht="55.5" customHeight="1" x14ac:dyDescent="0.25">
      <c r="C31" s="390"/>
      <c r="D31" s="391"/>
      <c r="E31" s="512" t="s">
        <v>458</v>
      </c>
      <c r="F31" s="512"/>
      <c r="G31" s="512"/>
      <c r="H31" s="513" t="s">
        <v>990</v>
      </c>
      <c r="I31" s="513"/>
      <c r="J31" s="513"/>
      <c r="K31" s="513"/>
      <c r="L31" s="513"/>
      <c r="M31" s="513"/>
      <c r="N31" s="509"/>
      <c r="O31" s="510"/>
      <c r="P31" s="510"/>
      <c r="Q31" s="510"/>
      <c r="R31" s="510"/>
      <c r="S31" s="510"/>
      <c r="T31" s="510"/>
      <c r="U31" s="510"/>
      <c r="V31" s="510"/>
      <c r="W31" s="510"/>
      <c r="X31" s="511"/>
      <c r="Y31" s="8" t="s">
        <v>55</v>
      </c>
    </row>
    <row r="32" spans="2:25" ht="55.5" customHeight="1" x14ac:dyDescent="0.25">
      <c r="C32" s="390"/>
      <c r="D32" s="391"/>
      <c r="E32" s="512" t="s">
        <v>459</v>
      </c>
      <c r="F32" s="512"/>
      <c r="G32" s="512"/>
      <c r="H32" s="513" t="s">
        <v>1042</v>
      </c>
      <c r="I32" s="513"/>
      <c r="J32" s="513"/>
      <c r="K32" s="513"/>
      <c r="L32" s="513"/>
      <c r="M32" s="513"/>
      <c r="N32" s="509" t="s">
        <v>1043</v>
      </c>
      <c r="O32" s="510"/>
      <c r="P32" s="510"/>
      <c r="Q32" s="510"/>
      <c r="R32" s="510"/>
      <c r="S32" s="510"/>
      <c r="T32" s="510"/>
      <c r="U32" s="510"/>
      <c r="V32" s="510"/>
      <c r="W32" s="510"/>
      <c r="X32" s="511"/>
      <c r="Y32" s="8" t="s">
        <v>55</v>
      </c>
    </row>
    <row r="33" spans="3:25" ht="55.5" customHeight="1" x14ac:dyDescent="0.25">
      <c r="C33" s="392"/>
      <c r="D33" s="393"/>
      <c r="E33" s="512" t="s">
        <v>137</v>
      </c>
      <c r="F33" s="512"/>
      <c r="G33" s="512"/>
      <c r="H33" s="513" t="s">
        <v>584</v>
      </c>
      <c r="I33" s="513"/>
      <c r="J33" s="513"/>
      <c r="K33" s="513"/>
      <c r="L33" s="513"/>
      <c r="M33" s="513"/>
      <c r="N33" s="509"/>
      <c r="O33" s="510"/>
      <c r="P33" s="510"/>
      <c r="Q33" s="510"/>
      <c r="R33" s="510"/>
      <c r="S33" s="510"/>
      <c r="T33" s="510"/>
      <c r="U33" s="510"/>
      <c r="V33" s="510"/>
      <c r="W33" s="510"/>
      <c r="X33" s="511"/>
      <c r="Y33" s="8" t="s">
        <v>55</v>
      </c>
    </row>
  </sheetData>
  <mergeCells count="20">
    <mergeCell ref="G8:J8"/>
    <mergeCell ref="S10:V10"/>
    <mergeCell ref="E28:G28"/>
    <mergeCell ref="E29:G29"/>
    <mergeCell ref="E30:G30"/>
    <mergeCell ref="H28:M28"/>
    <mergeCell ref="H29:M29"/>
    <mergeCell ref="H30:M30"/>
    <mergeCell ref="N28:X28"/>
    <mergeCell ref="N29:X29"/>
    <mergeCell ref="N30:X30"/>
    <mergeCell ref="N31:X31"/>
    <mergeCell ref="N32:X32"/>
    <mergeCell ref="E33:G33"/>
    <mergeCell ref="E31:G31"/>
    <mergeCell ref="E32:G32"/>
    <mergeCell ref="N33:X33"/>
    <mergeCell ref="H31:M31"/>
    <mergeCell ref="H32:M32"/>
    <mergeCell ref="H33:M33"/>
  </mergeCells>
  <conditionalFormatting sqref="W10 I10">
    <cfRule type="cellIs" dxfId="132" priority="5" stopIfTrue="1" operator="equal">
      <formula>"Y"</formula>
    </cfRule>
  </conditionalFormatting>
  <conditionalFormatting sqref="W10 I10">
    <cfRule type="cellIs" dxfId="131" priority="32" stopIfTrue="1" operator="equal">
      <formula>"N"</formula>
    </cfRule>
    <cfRule type="colorScale" priority="33">
      <colorScale>
        <cfvo type="min"/>
        <cfvo type="max"/>
        <color rgb="FFFF7128"/>
        <color rgb="FFFFEF9C"/>
      </colorScale>
    </cfRule>
  </conditionalFormatting>
  <dataValidations disablePrompts="1" count="1">
    <dataValidation type="list" allowBlank="1" showInputMessage="1" showErrorMessage="1" sqref="I10 W10">
      <formula1>"Y, N"</formula1>
    </dataValidation>
  </dataValidations>
  <hyperlinks>
    <hyperlink ref="I1" location="Introduction!A1" display="Back to introduction"/>
  </hyperlinks>
  <pageMargins left="0.70866141732283472" right="0.70866141732283472" top="0.74803149606299213" bottom="0.74803149606299213" header="0.31496062992125984" footer="0.31496062992125984"/>
  <pageSetup paperSize="8" scale="73" fitToHeight="0" orientation="landscape"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H50"/>
  <sheetViews>
    <sheetView zoomScale="90" zoomScaleNormal="90" workbookViewId="0">
      <selection activeCell="D1" sqref="D1"/>
    </sheetView>
  </sheetViews>
  <sheetFormatPr defaultColWidth="9.109375" defaultRowHeight="13.2" x14ac:dyDescent="0.25"/>
  <cols>
    <col min="1" max="1" width="1.6640625" style="5" customWidth="1"/>
    <col min="2" max="2" width="21.33203125" style="6" customWidth="1"/>
    <col min="3" max="3" width="29.5546875" style="6" customWidth="1"/>
    <col min="4" max="4" width="68.5546875" style="7" customWidth="1"/>
    <col min="5" max="5" width="37.109375" style="5" customWidth="1"/>
    <col min="6" max="6" width="15.33203125" style="5" customWidth="1"/>
    <col min="7" max="7" width="53" style="5" customWidth="1"/>
    <col min="8" max="8" width="7.6640625" style="5" customWidth="1"/>
    <col min="9" max="16384" width="9.109375" style="5"/>
  </cols>
  <sheetData>
    <row r="1" spans="1:8" s="3" customFormat="1" ht="17.399999999999999" x14ac:dyDescent="0.25">
      <c r="A1" s="1" t="s">
        <v>591</v>
      </c>
      <c r="B1" s="1"/>
      <c r="C1" s="2"/>
      <c r="D1" s="443" t="s">
        <v>1098</v>
      </c>
    </row>
    <row r="2" spans="1:8" s="3" customFormat="1" x14ac:dyDescent="0.25">
      <c r="B2" s="2"/>
      <c r="C2" s="2"/>
      <c r="D2" s="4"/>
      <c r="H2" s="4"/>
    </row>
    <row r="3" spans="1:8" s="3" customFormat="1" x14ac:dyDescent="0.25">
      <c r="B3" s="2" t="s">
        <v>93</v>
      </c>
      <c r="C3" s="2"/>
      <c r="D3" s="4"/>
    </row>
    <row r="4" spans="1:8" s="9" customFormat="1" x14ac:dyDescent="0.25">
      <c r="B4" s="2" t="s">
        <v>461</v>
      </c>
      <c r="C4" s="10"/>
      <c r="D4" s="11"/>
      <c r="H4" s="11"/>
    </row>
    <row r="5" spans="1:8" s="9" customFormat="1" x14ac:dyDescent="0.25">
      <c r="B5" s="2" t="s">
        <v>94</v>
      </c>
      <c r="C5" s="10"/>
      <c r="D5" s="11"/>
      <c r="H5" s="11"/>
    </row>
    <row r="6" spans="1:8" s="9" customFormat="1" ht="41.25" customHeight="1" x14ac:dyDescent="0.25">
      <c r="B6" s="530" t="s">
        <v>796</v>
      </c>
      <c r="C6" s="530"/>
      <c r="D6" s="530"/>
      <c r="E6" s="530"/>
      <c r="F6" s="530"/>
      <c r="G6" s="530"/>
      <c r="H6" s="11"/>
    </row>
    <row r="7" spans="1:8" s="9" customFormat="1" x14ac:dyDescent="0.25">
      <c r="B7" s="2"/>
      <c r="C7" s="10"/>
      <c r="D7" s="11"/>
      <c r="H7" s="11"/>
    </row>
    <row r="8" spans="1:8" ht="26.4" x14ac:dyDescent="0.25">
      <c r="B8" s="108" t="s">
        <v>7</v>
      </c>
      <c r="C8" s="108" t="s">
        <v>1</v>
      </c>
      <c r="D8" s="108" t="s">
        <v>3</v>
      </c>
      <c r="E8" s="108" t="s">
        <v>529</v>
      </c>
      <c r="F8" s="108" t="s">
        <v>627</v>
      </c>
      <c r="G8" s="108" t="s">
        <v>53</v>
      </c>
      <c r="H8" s="108" t="s">
        <v>10</v>
      </c>
    </row>
    <row r="9" spans="1:8" ht="30" customHeight="1" x14ac:dyDescent="0.25">
      <c r="B9" s="527" t="s">
        <v>39</v>
      </c>
      <c r="C9" s="528"/>
      <c r="D9" s="528"/>
      <c r="E9" s="528"/>
      <c r="F9" s="528"/>
      <c r="G9" s="528"/>
      <c r="H9" s="529"/>
    </row>
    <row r="10" spans="1:8" ht="123.75" customHeight="1" x14ac:dyDescent="0.25">
      <c r="B10" s="81" t="s">
        <v>110</v>
      </c>
      <c r="C10" s="81" t="s">
        <v>40</v>
      </c>
      <c r="D10" s="281" t="s">
        <v>120</v>
      </c>
      <c r="E10" s="100" t="s">
        <v>1045</v>
      </c>
      <c r="F10" s="394" t="s">
        <v>645</v>
      </c>
      <c r="G10" s="83"/>
      <c r="H10" s="8" t="s">
        <v>55</v>
      </c>
    </row>
    <row r="11" spans="1:8" ht="96" customHeight="1" x14ac:dyDescent="0.25">
      <c r="B11" s="81" t="s">
        <v>111</v>
      </c>
      <c r="C11" s="81" t="s">
        <v>991</v>
      </c>
      <c r="D11" s="281" t="s">
        <v>41</v>
      </c>
      <c r="E11" s="100" t="s">
        <v>1045</v>
      </c>
      <c r="F11" s="394" t="s">
        <v>645</v>
      </c>
      <c r="G11" s="83"/>
      <c r="H11" s="8" t="s">
        <v>55</v>
      </c>
    </row>
    <row r="12" spans="1:8" ht="69.75" customHeight="1" x14ac:dyDescent="0.25">
      <c r="B12" s="81" t="s">
        <v>112</v>
      </c>
      <c r="C12" s="81" t="s">
        <v>42</v>
      </c>
      <c r="D12" s="281" t="s">
        <v>1044</v>
      </c>
      <c r="E12" s="100" t="s">
        <v>1045</v>
      </c>
      <c r="F12" s="394" t="s">
        <v>645</v>
      </c>
      <c r="G12" s="83"/>
      <c r="H12" s="8" t="s">
        <v>55</v>
      </c>
    </row>
    <row r="13" spans="1:8" ht="102" customHeight="1" x14ac:dyDescent="0.25">
      <c r="B13" s="81" t="s">
        <v>113</v>
      </c>
      <c r="C13" s="81" t="s">
        <v>43</v>
      </c>
      <c r="D13" s="281" t="s">
        <v>44</v>
      </c>
      <c r="E13" s="100" t="s">
        <v>1045</v>
      </c>
      <c r="F13" s="394" t="s">
        <v>645</v>
      </c>
      <c r="G13" s="83"/>
      <c r="H13" s="8" t="s">
        <v>55</v>
      </c>
    </row>
    <row r="14" spans="1:8" ht="96" customHeight="1" x14ac:dyDescent="0.25">
      <c r="B14" s="81" t="s">
        <v>589</v>
      </c>
      <c r="C14" s="81" t="s">
        <v>590</v>
      </c>
      <c r="D14" s="281" t="s">
        <v>593</v>
      </c>
      <c r="E14" s="100" t="s">
        <v>1045</v>
      </c>
      <c r="F14" s="394" t="s">
        <v>645</v>
      </c>
      <c r="G14" s="83"/>
      <c r="H14" s="8" t="s">
        <v>55</v>
      </c>
    </row>
    <row r="15" spans="1:8" ht="39.6" x14ac:dyDescent="0.25">
      <c r="B15" s="81" t="s">
        <v>871</v>
      </c>
      <c r="C15" s="81" t="s">
        <v>867</v>
      </c>
      <c r="D15" s="82" t="s">
        <v>869</v>
      </c>
      <c r="E15" s="100" t="s">
        <v>1045</v>
      </c>
      <c r="F15" s="394" t="s">
        <v>645</v>
      </c>
      <c r="G15" s="83"/>
      <c r="H15" s="8" t="s">
        <v>55</v>
      </c>
    </row>
    <row r="16" spans="1:8" ht="30" customHeight="1" x14ac:dyDescent="0.25">
      <c r="B16" s="527" t="s">
        <v>45</v>
      </c>
      <c r="C16" s="528"/>
      <c r="D16" s="528"/>
      <c r="E16" s="528"/>
      <c r="F16" s="528"/>
      <c r="G16" s="528"/>
      <c r="H16" s="529"/>
    </row>
    <row r="17" spans="2:8" ht="188.25" customHeight="1" x14ac:dyDescent="0.25">
      <c r="B17" s="81" t="s">
        <v>114</v>
      </c>
      <c r="C17" s="81" t="s">
        <v>45</v>
      </c>
      <c r="D17" s="281" t="s">
        <v>119</v>
      </c>
      <c r="E17" s="100" t="s">
        <v>1045</v>
      </c>
      <c r="F17" s="394" t="s">
        <v>645</v>
      </c>
      <c r="G17" s="83"/>
      <c r="H17" s="8" t="s">
        <v>55</v>
      </c>
    </row>
    <row r="18" spans="2:8" ht="72.75" customHeight="1" x14ac:dyDescent="0.25">
      <c r="B18" s="81" t="s">
        <v>115</v>
      </c>
      <c r="C18" s="81" t="s">
        <v>46</v>
      </c>
      <c r="D18" s="281" t="s">
        <v>128</v>
      </c>
      <c r="E18" s="100" t="s">
        <v>1045</v>
      </c>
      <c r="F18" s="394" t="s">
        <v>645</v>
      </c>
      <c r="G18" s="83"/>
      <c r="H18" s="8" t="s">
        <v>55</v>
      </c>
    </row>
    <row r="19" spans="2:8" ht="30" customHeight="1" x14ac:dyDescent="0.25">
      <c r="B19" s="527" t="s">
        <v>47</v>
      </c>
      <c r="C19" s="528"/>
      <c r="D19" s="528"/>
      <c r="E19" s="528"/>
      <c r="F19" s="528"/>
      <c r="G19" s="528"/>
      <c r="H19" s="529"/>
    </row>
    <row r="20" spans="2:8" ht="152.25" customHeight="1" x14ac:dyDescent="0.25">
      <c r="B20" s="81" t="s">
        <v>116</v>
      </c>
      <c r="C20" s="81" t="s">
        <v>992</v>
      </c>
      <c r="D20" s="281" t="s">
        <v>48</v>
      </c>
      <c r="E20" s="100" t="s">
        <v>1045</v>
      </c>
      <c r="F20" s="394" t="s">
        <v>645</v>
      </c>
      <c r="G20" s="83"/>
      <c r="H20" s="8" t="s">
        <v>55</v>
      </c>
    </row>
    <row r="21" spans="2:8" ht="162.75" customHeight="1" x14ac:dyDescent="0.25">
      <c r="B21" s="81" t="s">
        <v>117</v>
      </c>
      <c r="C21" s="81" t="s">
        <v>49</v>
      </c>
      <c r="D21" s="82" t="s">
        <v>154</v>
      </c>
      <c r="E21" s="100" t="s">
        <v>1045</v>
      </c>
      <c r="F21" s="394" t="s">
        <v>645</v>
      </c>
      <c r="G21" s="83"/>
      <c r="H21" s="8" t="s">
        <v>55</v>
      </c>
    </row>
    <row r="22" spans="2:8" ht="29.25" customHeight="1" x14ac:dyDescent="0.25">
      <c r="B22" s="110" t="s">
        <v>50</v>
      </c>
      <c r="C22" s="110"/>
      <c r="D22" s="282"/>
      <c r="E22" s="24"/>
      <c r="F22" s="24"/>
      <c r="G22" s="24"/>
      <c r="H22" s="24"/>
    </row>
    <row r="23" spans="2:8" ht="211.5" customHeight="1" x14ac:dyDescent="0.25">
      <c r="B23" s="81" t="s">
        <v>118</v>
      </c>
      <c r="C23" s="81" t="s">
        <v>51</v>
      </c>
      <c r="D23" s="281" t="s">
        <v>129</v>
      </c>
      <c r="E23" s="100" t="s">
        <v>1045</v>
      </c>
      <c r="F23" s="394" t="s">
        <v>645</v>
      </c>
      <c r="G23" s="83"/>
      <c r="H23" s="8" t="s">
        <v>55</v>
      </c>
    </row>
    <row r="24" spans="2:8" ht="30" customHeight="1" x14ac:dyDescent="0.25">
      <c r="B24" s="110" t="s">
        <v>870</v>
      </c>
      <c r="C24" s="110"/>
      <c r="D24" s="282"/>
      <c r="E24" s="24"/>
      <c r="F24" s="24"/>
      <c r="G24" s="24"/>
      <c r="H24" s="24"/>
    </row>
    <row r="25" spans="2:8" ht="39.6" x14ac:dyDescent="0.25">
      <c r="B25" s="81" t="s">
        <v>872</v>
      </c>
      <c r="C25" s="81" t="s">
        <v>993</v>
      </c>
      <c r="D25" s="82" t="s">
        <v>861</v>
      </c>
      <c r="E25" s="100" t="s">
        <v>1045</v>
      </c>
      <c r="F25" s="394" t="s">
        <v>645</v>
      </c>
      <c r="G25" s="83"/>
      <c r="H25" s="8" t="s">
        <v>55</v>
      </c>
    </row>
    <row r="26" spans="2:8" ht="52.8" x14ac:dyDescent="0.25">
      <c r="B26" s="81" t="s">
        <v>873</v>
      </c>
      <c r="C26" s="81" t="s">
        <v>994</v>
      </c>
      <c r="D26" s="82" t="s">
        <v>862</v>
      </c>
      <c r="E26" s="100" t="s">
        <v>1045</v>
      </c>
      <c r="F26" s="394" t="s">
        <v>645</v>
      </c>
      <c r="G26" s="83"/>
      <c r="H26" s="8" t="s">
        <v>55</v>
      </c>
    </row>
    <row r="27" spans="2:8" s="3" customFormat="1" ht="79.2" x14ac:dyDescent="0.25">
      <c r="B27" s="81" t="s">
        <v>874</v>
      </c>
      <c r="C27" s="81" t="s">
        <v>995</v>
      </c>
      <c r="D27" s="82" t="s">
        <v>863</v>
      </c>
      <c r="E27" s="100" t="s">
        <v>1045</v>
      </c>
      <c r="F27" s="394" t="s">
        <v>645</v>
      </c>
      <c r="G27" s="83"/>
      <c r="H27" s="8" t="s">
        <v>55</v>
      </c>
    </row>
    <row r="28" spans="2:8" s="3" customFormat="1" ht="52.8" x14ac:dyDescent="0.25">
      <c r="B28" s="81" t="s">
        <v>875</v>
      </c>
      <c r="C28" s="81" t="s">
        <v>996</v>
      </c>
      <c r="D28" s="82" t="s">
        <v>864</v>
      </c>
      <c r="E28" s="100" t="s">
        <v>1045</v>
      </c>
      <c r="F28" s="394" t="s">
        <v>645</v>
      </c>
      <c r="G28" s="83"/>
      <c r="H28" s="8" t="s">
        <v>55</v>
      </c>
    </row>
    <row r="29" spans="2:8" s="3" customFormat="1" ht="39.6" x14ac:dyDescent="0.25">
      <c r="B29" s="81" t="s">
        <v>876</v>
      </c>
      <c r="C29" s="81" t="s">
        <v>997</v>
      </c>
      <c r="D29" s="82" t="s">
        <v>865</v>
      </c>
      <c r="E29" s="100" t="s">
        <v>1045</v>
      </c>
      <c r="F29" s="394" t="s">
        <v>645</v>
      </c>
      <c r="G29" s="83"/>
      <c r="H29" s="8" t="s">
        <v>55</v>
      </c>
    </row>
    <row r="30" spans="2:8" s="3" customFormat="1" ht="39.6" x14ac:dyDescent="0.25">
      <c r="B30" s="81" t="s">
        <v>877</v>
      </c>
      <c r="C30" s="81" t="s">
        <v>998</v>
      </c>
      <c r="D30" s="82" t="s">
        <v>868</v>
      </c>
      <c r="E30" s="100" t="s">
        <v>1045</v>
      </c>
      <c r="F30" s="394" t="s">
        <v>645</v>
      </c>
      <c r="G30" s="83"/>
      <c r="H30" s="8" t="s">
        <v>55</v>
      </c>
    </row>
    <row r="31" spans="2:8" ht="92.4" x14ac:dyDescent="0.25">
      <c r="B31" s="81" t="s">
        <v>878</v>
      </c>
      <c r="C31" s="81" t="s">
        <v>866</v>
      </c>
      <c r="D31" s="82" t="s">
        <v>879</v>
      </c>
      <c r="E31" s="100" t="s">
        <v>1045</v>
      </c>
      <c r="F31" s="394" t="s">
        <v>645</v>
      </c>
      <c r="G31" s="83"/>
      <c r="H31" s="8" t="s">
        <v>55</v>
      </c>
    </row>
    <row r="32" spans="2:8" x14ac:dyDescent="0.25">
      <c r="H32" s="7"/>
    </row>
    <row r="33" spans="8:8" x14ac:dyDescent="0.25">
      <c r="H33" s="7"/>
    </row>
    <row r="34" spans="8:8" x14ac:dyDescent="0.25">
      <c r="H34" s="7"/>
    </row>
    <row r="35" spans="8:8" x14ac:dyDescent="0.25">
      <c r="H35" s="7"/>
    </row>
    <row r="36" spans="8:8" x14ac:dyDescent="0.25">
      <c r="H36" s="7"/>
    </row>
    <row r="37" spans="8:8" x14ac:dyDescent="0.25">
      <c r="H37" s="7"/>
    </row>
    <row r="38" spans="8:8" x14ac:dyDescent="0.25">
      <c r="H38" s="7"/>
    </row>
    <row r="39" spans="8:8" x14ac:dyDescent="0.25">
      <c r="H39" s="7"/>
    </row>
    <row r="40" spans="8:8" x14ac:dyDescent="0.25">
      <c r="H40" s="7"/>
    </row>
    <row r="41" spans="8:8" x14ac:dyDescent="0.25">
      <c r="H41" s="7"/>
    </row>
    <row r="42" spans="8:8" x14ac:dyDescent="0.25">
      <c r="H42" s="7"/>
    </row>
    <row r="43" spans="8:8" x14ac:dyDescent="0.25">
      <c r="H43" s="7"/>
    </row>
    <row r="44" spans="8:8" x14ac:dyDescent="0.25">
      <c r="H44" s="7"/>
    </row>
    <row r="45" spans="8:8" x14ac:dyDescent="0.25">
      <c r="H45" s="7"/>
    </row>
    <row r="46" spans="8:8" x14ac:dyDescent="0.25">
      <c r="H46" s="7"/>
    </row>
    <row r="47" spans="8:8" x14ac:dyDescent="0.25">
      <c r="H47" s="7"/>
    </row>
    <row r="48" spans="8:8" x14ac:dyDescent="0.25">
      <c r="H48" s="7"/>
    </row>
    <row r="49" spans="8:8" x14ac:dyDescent="0.25">
      <c r="H49" s="7"/>
    </row>
    <row r="50" spans="8:8" x14ac:dyDescent="0.25">
      <c r="H50" s="7"/>
    </row>
  </sheetData>
  <mergeCells count="4">
    <mergeCell ref="B19:H19"/>
    <mergeCell ref="B16:H16"/>
    <mergeCell ref="B9:H9"/>
    <mergeCell ref="B6:G6"/>
  </mergeCells>
  <conditionalFormatting sqref="F11:F14">
    <cfRule type="cellIs" dxfId="130" priority="19" stopIfTrue="1" operator="equal">
      <formula>"semi-compliant"</formula>
    </cfRule>
    <cfRule type="cellIs" dxfId="129" priority="20" stopIfTrue="1" operator="equal">
      <formula>"non-compliant"</formula>
    </cfRule>
  </conditionalFormatting>
  <conditionalFormatting sqref="F17:F18">
    <cfRule type="cellIs" dxfId="128" priority="17" stopIfTrue="1" operator="equal">
      <formula>"semi-compliant"</formula>
    </cfRule>
    <cfRule type="cellIs" dxfId="127" priority="18" stopIfTrue="1" operator="equal">
      <formula>"non-compliant"</formula>
    </cfRule>
  </conditionalFormatting>
  <conditionalFormatting sqref="F20:F21">
    <cfRule type="cellIs" dxfId="126" priority="15" stopIfTrue="1" operator="equal">
      <formula>"semi-compliant"</formula>
    </cfRule>
    <cfRule type="cellIs" dxfId="125" priority="16" stopIfTrue="1" operator="equal">
      <formula>"non-compliant"</formula>
    </cfRule>
  </conditionalFormatting>
  <conditionalFormatting sqref="F23">
    <cfRule type="cellIs" dxfId="124" priority="13" stopIfTrue="1" operator="equal">
      <formula>"semi-compliant"</formula>
    </cfRule>
    <cfRule type="cellIs" dxfId="123" priority="14" stopIfTrue="1" operator="equal">
      <formula>"non-compliant"</formula>
    </cfRule>
  </conditionalFormatting>
  <conditionalFormatting sqref="F15">
    <cfRule type="cellIs" dxfId="122" priority="9" stopIfTrue="1" operator="equal">
      <formula>"semi-compliant"</formula>
    </cfRule>
    <cfRule type="cellIs" dxfId="121" priority="10" stopIfTrue="1" operator="equal">
      <formula>"non-compliant"</formula>
    </cfRule>
  </conditionalFormatting>
  <conditionalFormatting sqref="F10">
    <cfRule type="cellIs" dxfId="120" priority="5" stopIfTrue="1" operator="equal">
      <formula>"semi-compliant"</formula>
    </cfRule>
    <cfRule type="cellIs" dxfId="119" priority="6" stopIfTrue="1" operator="equal">
      <formula>"non-compliant"</formula>
    </cfRule>
  </conditionalFormatting>
  <conditionalFormatting sqref="F25">
    <cfRule type="cellIs" dxfId="118" priority="3" stopIfTrue="1" operator="equal">
      <formula>"semi-compliant"</formula>
    </cfRule>
    <cfRule type="cellIs" dxfId="117" priority="4" stopIfTrue="1" operator="equal">
      <formula>"non-compliant"</formula>
    </cfRule>
  </conditionalFormatting>
  <conditionalFormatting sqref="F26:F31">
    <cfRule type="cellIs" dxfId="116" priority="1" stopIfTrue="1" operator="equal">
      <formula>"semi-compliant"</formula>
    </cfRule>
    <cfRule type="cellIs" dxfId="115" priority="2" stopIfTrue="1" operator="equal">
      <formula>"non-compliant"</formula>
    </cfRule>
  </conditionalFormatting>
  <hyperlinks>
    <hyperlink ref="D1" location="Introduction!A1" display="Back to introduction"/>
  </hyperlinks>
  <pageMargins left="0.75" right="0.75" top="1" bottom="1" header="0.5" footer="0.5"/>
  <pageSetup paperSize="9" scale="60" fitToHeight="5" orientation="landscape" horizontalDpi="200" verticalDpi="200" r:id="rId1"/>
  <headerFooter alignWithMargins="0"/>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14:formula1>
            <xm:f>Lists!$B$120:$B$124</xm:f>
          </x14:formula1>
          <xm:sqref>F17:F18</xm:sqref>
        </x14:dataValidation>
        <x14:dataValidation type="list" allowBlank="1" showInputMessage="1" showErrorMessage="1">
          <x14:formula1>
            <xm:f>Lists!$B$120:$B$124</xm:f>
          </x14:formula1>
          <xm:sqref>F20:F21 F25:F31</xm:sqref>
        </x14:dataValidation>
        <x14:dataValidation type="list" allowBlank="1" showInputMessage="1" showErrorMessage="1">
          <x14:formula1>
            <xm:f>Lists!$B$120:$B$124</xm:f>
          </x14:formula1>
          <xm:sqref>F23</xm:sqref>
        </x14:dataValidation>
        <x14:dataValidation type="list" allowBlank="1" showInputMessage="1" showErrorMessage="1">
          <x14:formula1>
            <xm:f>Lists!$B$120:$B$124</xm:f>
          </x14:formula1>
          <xm:sqref>F10:F15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88"/>
  <sheetViews>
    <sheetView zoomScale="90" zoomScaleNormal="90" workbookViewId="0">
      <selection activeCell="D1" sqref="D1"/>
    </sheetView>
  </sheetViews>
  <sheetFormatPr defaultColWidth="9.109375" defaultRowHeight="13.2" x14ac:dyDescent="0.25"/>
  <cols>
    <col min="1" max="1" width="1.6640625" style="206" customWidth="1"/>
    <col min="2" max="2" width="20.109375" style="204" customWidth="1"/>
    <col min="3" max="3" width="35.5546875" style="204" customWidth="1"/>
    <col min="4" max="4" width="63.6640625" style="205" customWidth="1"/>
    <col min="5" max="5" width="34.6640625" style="205" customWidth="1"/>
    <col min="6" max="6" width="14.109375" style="335" customWidth="1"/>
    <col min="7" max="7" width="35.44140625" style="335" customWidth="1"/>
    <col min="8" max="8" width="9.6640625" style="336" customWidth="1"/>
    <col min="9" max="256" width="9.109375" style="206"/>
    <col min="257" max="257" width="1.6640625" style="206" customWidth="1"/>
    <col min="258" max="258" width="20.109375" style="206" customWidth="1"/>
    <col min="259" max="259" width="32.44140625" style="206" customWidth="1"/>
    <col min="260" max="260" width="63.6640625" style="206" customWidth="1"/>
    <col min="261" max="261" width="34.6640625" style="206" customWidth="1"/>
    <col min="262" max="262" width="14.109375" style="206" customWidth="1"/>
    <col min="263" max="263" width="35.44140625" style="206" customWidth="1"/>
    <col min="264" max="264" width="9.6640625" style="206" customWidth="1"/>
    <col min="265" max="512" width="9.109375" style="206"/>
    <col min="513" max="513" width="1.6640625" style="206" customWidth="1"/>
    <col min="514" max="514" width="20.109375" style="206" customWidth="1"/>
    <col min="515" max="515" width="32.44140625" style="206" customWidth="1"/>
    <col min="516" max="516" width="63.6640625" style="206" customWidth="1"/>
    <col min="517" max="517" width="34.6640625" style="206" customWidth="1"/>
    <col min="518" max="518" width="14.109375" style="206" customWidth="1"/>
    <col min="519" max="519" width="35.44140625" style="206" customWidth="1"/>
    <col min="520" max="520" width="9.6640625" style="206" customWidth="1"/>
    <col min="521" max="768" width="9.109375" style="206"/>
    <col min="769" max="769" width="1.6640625" style="206" customWidth="1"/>
    <col min="770" max="770" width="20.109375" style="206" customWidth="1"/>
    <col min="771" max="771" width="32.44140625" style="206" customWidth="1"/>
    <col min="772" max="772" width="63.6640625" style="206" customWidth="1"/>
    <col min="773" max="773" width="34.6640625" style="206" customWidth="1"/>
    <col min="774" max="774" width="14.109375" style="206" customWidth="1"/>
    <col min="775" max="775" width="35.44140625" style="206" customWidth="1"/>
    <col min="776" max="776" width="9.6640625" style="206" customWidth="1"/>
    <col min="777" max="1024" width="9.109375" style="206"/>
    <col min="1025" max="1025" width="1.6640625" style="206" customWidth="1"/>
    <col min="1026" max="1026" width="20.109375" style="206" customWidth="1"/>
    <col min="1027" max="1027" width="32.44140625" style="206" customWidth="1"/>
    <col min="1028" max="1028" width="63.6640625" style="206" customWidth="1"/>
    <col min="1029" max="1029" width="34.6640625" style="206" customWidth="1"/>
    <col min="1030" max="1030" width="14.109375" style="206" customWidth="1"/>
    <col min="1031" max="1031" width="35.44140625" style="206" customWidth="1"/>
    <col min="1032" max="1032" width="9.6640625" style="206" customWidth="1"/>
    <col min="1033" max="1280" width="9.109375" style="206"/>
    <col min="1281" max="1281" width="1.6640625" style="206" customWidth="1"/>
    <col min="1282" max="1282" width="20.109375" style="206" customWidth="1"/>
    <col min="1283" max="1283" width="32.44140625" style="206" customWidth="1"/>
    <col min="1284" max="1284" width="63.6640625" style="206" customWidth="1"/>
    <col min="1285" max="1285" width="34.6640625" style="206" customWidth="1"/>
    <col min="1286" max="1286" width="14.109375" style="206" customWidth="1"/>
    <col min="1287" max="1287" width="35.44140625" style="206" customWidth="1"/>
    <col min="1288" max="1288" width="9.6640625" style="206" customWidth="1"/>
    <col min="1289" max="1536" width="9.109375" style="206"/>
    <col min="1537" max="1537" width="1.6640625" style="206" customWidth="1"/>
    <col min="1538" max="1538" width="20.109375" style="206" customWidth="1"/>
    <col min="1539" max="1539" width="32.44140625" style="206" customWidth="1"/>
    <col min="1540" max="1540" width="63.6640625" style="206" customWidth="1"/>
    <col min="1541" max="1541" width="34.6640625" style="206" customWidth="1"/>
    <col min="1542" max="1542" width="14.109375" style="206" customWidth="1"/>
    <col min="1543" max="1543" width="35.44140625" style="206" customWidth="1"/>
    <col min="1544" max="1544" width="9.6640625" style="206" customWidth="1"/>
    <col min="1545" max="1792" width="9.109375" style="206"/>
    <col min="1793" max="1793" width="1.6640625" style="206" customWidth="1"/>
    <col min="1794" max="1794" width="20.109375" style="206" customWidth="1"/>
    <col min="1795" max="1795" width="32.44140625" style="206" customWidth="1"/>
    <col min="1796" max="1796" width="63.6640625" style="206" customWidth="1"/>
    <col min="1797" max="1797" width="34.6640625" style="206" customWidth="1"/>
    <col min="1798" max="1798" width="14.109375" style="206" customWidth="1"/>
    <col min="1799" max="1799" width="35.44140625" style="206" customWidth="1"/>
    <col min="1800" max="1800" width="9.6640625" style="206" customWidth="1"/>
    <col min="1801" max="2048" width="9.109375" style="206"/>
    <col min="2049" max="2049" width="1.6640625" style="206" customWidth="1"/>
    <col min="2050" max="2050" width="20.109375" style="206" customWidth="1"/>
    <col min="2051" max="2051" width="32.44140625" style="206" customWidth="1"/>
    <col min="2052" max="2052" width="63.6640625" style="206" customWidth="1"/>
    <col min="2053" max="2053" width="34.6640625" style="206" customWidth="1"/>
    <col min="2054" max="2054" width="14.109375" style="206" customWidth="1"/>
    <col min="2055" max="2055" width="35.44140625" style="206" customWidth="1"/>
    <col min="2056" max="2056" width="9.6640625" style="206" customWidth="1"/>
    <col min="2057" max="2304" width="9.109375" style="206"/>
    <col min="2305" max="2305" width="1.6640625" style="206" customWidth="1"/>
    <col min="2306" max="2306" width="20.109375" style="206" customWidth="1"/>
    <col min="2307" max="2307" width="32.44140625" style="206" customWidth="1"/>
    <col min="2308" max="2308" width="63.6640625" style="206" customWidth="1"/>
    <col min="2309" max="2309" width="34.6640625" style="206" customWidth="1"/>
    <col min="2310" max="2310" width="14.109375" style="206" customWidth="1"/>
    <col min="2311" max="2311" width="35.44140625" style="206" customWidth="1"/>
    <col min="2312" max="2312" width="9.6640625" style="206" customWidth="1"/>
    <col min="2313" max="2560" width="9.109375" style="206"/>
    <col min="2561" max="2561" width="1.6640625" style="206" customWidth="1"/>
    <col min="2562" max="2562" width="20.109375" style="206" customWidth="1"/>
    <col min="2563" max="2563" width="32.44140625" style="206" customWidth="1"/>
    <col min="2564" max="2564" width="63.6640625" style="206" customWidth="1"/>
    <col min="2565" max="2565" width="34.6640625" style="206" customWidth="1"/>
    <col min="2566" max="2566" width="14.109375" style="206" customWidth="1"/>
    <col min="2567" max="2567" width="35.44140625" style="206" customWidth="1"/>
    <col min="2568" max="2568" width="9.6640625" style="206" customWidth="1"/>
    <col min="2569" max="2816" width="9.109375" style="206"/>
    <col min="2817" max="2817" width="1.6640625" style="206" customWidth="1"/>
    <col min="2818" max="2818" width="20.109375" style="206" customWidth="1"/>
    <col min="2819" max="2819" width="32.44140625" style="206" customWidth="1"/>
    <col min="2820" max="2820" width="63.6640625" style="206" customWidth="1"/>
    <col min="2821" max="2821" width="34.6640625" style="206" customWidth="1"/>
    <col min="2822" max="2822" width="14.109375" style="206" customWidth="1"/>
    <col min="2823" max="2823" width="35.44140625" style="206" customWidth="1"/>
    <col min="2824" max="2824" width="9.6640625" style="206" customWidth="1"/>
    <col min="2825" max="3072" width="9.109375" style="206"/>
    <col min="3073" max="3073" width="1.6640625" style="206" customWidth="1"/>
    <col min="3074" max="3074" width="20.109375" style="206" customWidth="1"/>
    <col min="3075" max="3075" width="32.44140625" style="206" customWidth="1"/>
    <col min="3076" max="3076" width="63.6640625" style="206" customWidth="1"/>
    <col min="3077" max="3077" width="34.6640625" style="206" customWidth="1"/>
    <col min="3078" max="3078" width="14.109375" style="206" customWidth="1"/>
    <col min="3079" max="3079" width="35.44140625" style="206" customWidth="1"/>
    <col min="3080" max="3080" width="9.6640625" style="206" customWidth="1"/>
    <col min="3081" max="3328" width="9.109375" style="206"/>
    <col min="3329" max="3329" width="1.6640625" style="206" customWidth="1"/>
    <col min="3330" max="3330" width="20.109375" style="206" customWidth="1"/>
    <col min="3331" max="3331" width="32.44140625" style="206" customWidth="1"/>
    <col min="3332" max="3332" width="63.6640625" style="206" customWidth="1"/>
    <col min="3333" max="3333" width="34.6640625" style="206" customWidth="1"/>
    <col min="3334" max="3334" width="14.109375" style="206" customWidth="1"/>
    <col min="3335" max="3335" width="35.44140625" style="206" customWidth="1"/>
    <col min="3336" max="3336" width="9.6640625" style="206" customWidth="1"/>
    <col min="3337" max="3584" width="9.109375" style="206"/>
    <col min="3585" max="3585" width="1.6640625" style="206" customWidth="1"/>
    <col min="3586" max="3586" width="20.109375" style="206" customWidth="1"/>
    <col min="3587" max="3587" width="32.44140625" style="206" customWidth="1"/>
    <col min="3588" max="3588" width="63.6640625" style="206" customWidth="1"/>
    <col min="3589" max="3589" width="34.6640625" style="206" customWidth="1"/>
    <col min="3590" max="3590" width="14.109375" style="206" customWidth="1"/>
    <col min="3591" max="3591" width="35.44140625" style="206" customWidth="1"/>
    <col min="3592" max="3592" width="9.6640625" style="206" customWidth="1"/>
    <col min="3593" max="3840" width="9.109375" style="206"/>
    <col min="3841" max="3841" width="1.6640625" style="206" customWidth="1"/>
    <col min="3842" max="3842" width="20.109375" style="206" customWidth="1"/>
    <col min="3843" max="3843" width="32.44140625" style="206" customWidth="1"/>
    <col min="3844" max="3844" width="63.6640625" style="206" customWidth="1"/>
    <col min="3845" max="3845" width="34.6640625" style="206" customWidth="1"/>
    <col min="3846" max="3846" width="14.109375" style="206" customWidth="1"/>
    <col min="3847" max="3847" width="35.44140625" style="206" customWidth="1"/>
    <col min="3848" max="3848" width="9.6640625" style="206" customWidth="1"/>
    <col min="3849" max="4096" width="9.109375" style="206"/>
    <col min="4097" max="4097" width="1.6640625" style="206" customWidth="1"/>
    <col min="4098" max="4098" width="20.109375" style="206" customWidth="1"/>
    <col min="4099" max="4099" width="32.44140625" style="206" customWidth="1"/>
    <col min="4100" max="4100" width="63.6640625" style="206" customWidth="1"/>
    <col min="4101" max="4101" width="34.6640625" style="206" customWidth="1"/>
    <col min="4102" max="4102" width="14.109375" style="206" customWidth="1"/>
    <col min="4103" max="4103" width="35.44140625" style="206" customWidth="1"/>
    <col min="4104" max="4104" width="9.6640625" style="206" customWidth="1"/>
    <col min="4105" max="4352" width="9.109375" style="206"/>
    <col min="4353" max="4353" width="1.6640625" style="206" customWidth="1"/>
    <col min="4354" max="4354" width="20.109375" style="206" customWidth="1"/>
    <col min="4355" max="4355" width="32.44140625" style="206" customWidth="1"/>
    <col min="4356" max="4356" width="63.6640625" style="206" customWidth="1"/>
    <col min="4357" max="4357" width="34.6640625" style="206" customWidth="1"/>
    <col min="4358" max="4358" width="14.109375" style="206" customWidth="1"/>
    <col min="4359" max="4359" width="35.44140625" style="206" customWidth="1"/>
    <col min="4360" max="4360" width="9.6640625" style="206" customWidth="1"/>
    <col min="4361" max="4608" width="9.109375" style="206"/>
    <col min="4609" max="4609" width="1.6640625" style="206" customWidth="1"/>
    <col min="4610" max="4610" width="20.109375" style="206" customWidth="1"/>
    <col min="4611" max="4611" width="32.44140625" style="206" customWidth="1"/>
    <col min="4612" max="4612" width="63.6640625" style="206" customWidth="1"/>
    <col min="4613" max="4613" width="34.6640625" style="206" customWidth="1"/>
    <col min="4614" max="4614" width="14.109375" style="206" customWidth="1"/>
    <col min="4615" max="4615" width="35.44140625" style="206" customWidth="1"/>
    <col min="4616" max="4616" width="9.6640625" style="206" customWidth="1"/>
    <col min="4617" max="4864" width="9.109375" style="206"/>
    <col min="4865" max="4865" width="1.6640625" style="206" customWidth="1"/>
    <col min="4866" max="4866" width="20.109375" style="206" customWidth="1"/>
    <col min="4867" max="4867" width="32.44140625" style="206" customWidth="1"/>
    <col min="4868" max="4868" width="63.6640625" style="206" customWidth="1"/>
    <col min="4869" max="4869" width="34.6640625" style="206" customWidth="1"/>
    <col min="4870" max="4870" width="14.109375" style="206" customWidth="1"/>
    <col min="4871" max="4871" width="35.44140625" style="206" customWidth="1"/>
    <col min="4872" max="4872" width="9.6640625" style="206" customWidth="1"/>
    <col min="4873" max="5120" width="9.109375" style="206"/>
    <col min="5121" max="5121" width="1.6640625" style="206" customWidth="1"/>
    <col min="5122" max="5122" width="20.109375" style="206" customWidth="1"/>
    <col min="5123" max="5123" width="32.44140625" style="206" customWidth="1"/>
    <col min="5124" max="5124" width="63.6640625" style="206" customWidth="1"/>
    <col min="5125" max="5125" width="34.6640625" style="206" customWidth="1"/>
    <col min="5126" max="5126" width="14.109375" style="206" customWidth="1"/>
    <col min="5127" max="5127" width="35.44140625" style="206" customWidth="1"/>
    <col min="5128" max="5128" width="9.6640625" style="206" customWidth="1"/>
    <col min="5129" max="5376" width="9.109375" style="206"/>
    <col min="5377" max="5377" width="1.6640625" style="206" customWidth="1"/>
    <col min="5378" max="5378" width="20.109375" style="206" customWidth="1"/>
    <col min="5379" max="5379" width="32.44140625" style="206" customWidth="1"/>
    <col min="5380" max="5380" width="63.6640625" style="206" customWidth="1"/>
    <col min="5381" max="5381" width="34.6640625" style="206" customWidth="1"/>
    <col min="5382" max="5382" width="14.109375" style="206" customWidth="1"/>
    <col min="5383" max="5383" width="35.44140625" style="206" customWidth="1"/>
    <col min="5384" max="5384" width="9.6640625" style="206" customWidth="1"/>
    <col min="5385" max="5632" width="9.109375" style="206"/>
    <col min="5633" max="5633" width="1.6640625" style="206" customWidth="1"/>
    <col min="5634" max="5634" width="20.109375" style="206" customWidth="1"/>
    <col min="5635" max="5635" width="32.44140625" style="206" customWidth="1"/>
    <col min="5636" max="5636" width="63.6640625" style="206" customWidth="1"/>
    <col min="5637" max="5637" width="34.6640625" style="206" customWidth="1"/>
    <col min="5638" max="5638" width="14.109375" style="206" customWidth="1"/>
    <col min="5639" max="5639" width="35.44140625" style="206" customWidth="1"/>
    <col min="5640" max="5640" width="9.6640625" style="206" customWidth="1"/>
    <col min="5641" max="5888" width="9.109375" style="206"/>
    <col min="5889" max="5889" width="1.6640625" style="206" customWidth="1"/>
    <col min="5890" max="5890" width="20.109375" style="206" customWidth="1"/>
    <col min="5891" max="5891" width="32.44140625" style="206" customWidth="1"/>
    <col min="5892" max="5892" width="63.6640625" style="206" customWidth="1"/>
    <col min="5893" max="5893" width="34.6640625" style="206" customWidth="1"/>
    <col min="5894" max="5894" width="14.109375" style="206" customWidth="1"/>
    <col min="5895" max="5895" width="35.44140625" style="206" customWidth="1"/>
    <col min="5896" max="5896" width="9.6640625" style="206" customWidth="1"/>
    <col min="5897" max="6144" width="9.109375" style="206"/>
    <col min="6145" max="6145" width="1.6640625" style="206" customWidth="1"/>
    <col min="6146" max="6146" width="20.109375" style="206" customWidth="1"/>
    <col min="6147" max="6147" width="32.44140625" style="206" customWidth="1"/>
    <col min="6148" max="6148" width="63.6640625" style="206" customWidth="1"/>
    <col min="6149" max="6149" width="34.6640625" style="206" customWidth="1"/>
    <col min="6150" max="6150" width="14.109375" style="206" customWidth="1"/>
    <col min="6151" max="6151" width="35.44140625" style="206" customWidth="1"/>
    <col min="6152" max="6152" width="9.6640625" style="206" customWidth="1"/>
    <col min="6153" max="6400" width="9.109375" style="206"/>
    <col min="6401" max="6401" width="1.6640625" style="206" customWidth="1"/>
    <col min="6402" max="6402" width="20.109375" style="206" customWidth="1"/>
    <col min="6403" max="6403" width="32.44140625" style="206" customWidth="1"/>
    <col min="6404" max="6404" width="63.6640625" style="206" customWidth="1"/>
    <col min="6405" max="6405" width="34.6640625" style="206" customWidth="1"/>
    <col min="6406" max="6406" width="14.109375" style="206" customWidth="1"/>
    <col min="6407" max="6407" width="35.44140625" style="206" customWidth="1"/>
    <col min="6408" max="6408" width="9.6640625" style="206" customWidth="1"/>
    <col min="6409" max="6656" width="9.109375" style="206"/>
    <col min="6657" max="6657" width="1.6640625" style="206" customWidth="1"/>
    <col min="6658" max="6658" width="20.109375" style="206" customWidth="1"/>
    <col min="6659" max="6659" width="32.44140625" style="206" customWidth="1"/>
    <col min="6660" max="6660" width="63.6640625" style="206" customWidth="1"/>
    <col min="6661" max="6661" width="34.6640625" style="206" customWidth="1"/>
    <col min="6662" max="6662" width="14.109375" style="206" customWidth="1"/>
    <col min="6663" max="6663" width="35.44140625" style="206" customWidth="1"/>
    <col min="6664" max="6664" width="9.6640625" style="206" customWidth="1"/>
    <col min="6665" max="6912" width="9.109375" style="206"/>
    <col min="6913" max="6913" width="1.6640625" style="206" customWidth="1"/>
    <col min="6914" max="6914" width="20.109375" style="206" customWidth="1"/>
    <col min="6915" max="6915" width="32.44140625" style="206" customWidth="1"/>
    <col min="6916" max="6916" width="63.6640625" style="206" customWidth="1"/>
    <col min="6917" max="6917" width="34.6640625" style="206" customWidth="1"/>
    <col min="6918" max="6918" width="14.109375" style="206" customWidth="1"/>
    <col min="6919" max="6919" width="35.44140625" style="206" customWidth="1"/>
    <col min="6920" max="6920" width="9.6640625" style="206" customWidth="1"/>
    <col min="6921" max="7168" width="9.109375" style="206"/>
    <col min="7169" max="7169" width="1.6640625" style="206" customWidth="1"/>
    <col min="7170" max="7170" width="20.109375" style="206" customWidth="1"/>
    <col min="7171" max="7171" width="32.44140625" style="206" customWidth="1"/>
    <col min="7172" max="7172" width="63.6640625" style="206" customWidth="1"/>
    <col min="7173" max="7173" width="34.6640625" style="206" customWidth="1"/>
    <col min="7174" max="7174" width="14.109375" style="206" customWidth="1"/>
    <col min="7175" max="7175" width="35.44140625" style="206" customWidth="1"/>
    <col min="7176" max="7176" width="9.6640625" style="206" customWidth="1"/>
    <col min="7177" max="7424" width="9.109375" style="206"/>
    <col min="7425" max="7425" width="1.6640625" style="206" customWidth="1"/>
    <col min="7426" max="7426" width="20.109375" style="206" customWidth="1"/>
    <col min="7427" max="7427" width="32.44140625" style="206" customWidth="1"/>
    <col min="7428" max="7428" width="63.6640625" style="206" customWidth="1"/>
    <col min="7429" max="7429" width="34.6640625" style="206" customWidth="1"/>
    <col min="7430" max="7430" width="14.109375" style="206" customWidth="1"/>
    <col min="7431" max="7431" width="35.44140625" style="206" customWidth="1"/>
    <col min="7432" max="7432" width="9.6640625" style="206" customWidth="1"/>
    <col min="7433" max="7680" width="9.109375" style="206"/>
    <col min="7681" max="7681" width="1.6640625" style="206" customWidth="1"/>
    <col min="7682" max="7682" width="20.109375" style="206" customWidth="1"/>
    <col min="7683" max="7683" width="32.44140625" style="206" customWidth="1"/>
    <col min="7684" max="7684" width="63.6640625" style="206" customWidth="1"/>
    <col min="7685" max="7685" width="34.6640625" style="206" customWidth="1"/>
    <col min="7686" max="7686" width="14.109375" style="206" customWidth="1"/>
    <col min="7687" max="7687" width="35.44140625" style="206" customWidth="1"/>
    <col min="7688" max="7688" width="9.6640625" style="206" customWidth="1"/>
    <col min="7689" max="7936" width="9.109375" style="206"/>
    <col min="7937" max="7937" width="1.6640625" style="206" customWidth="1"/>
    <col min="7938" max="7938" width="20.109375" style="206" customWidth="1"/>
    <col min="7939" max="7939" width="32.44140625" style="206" customWidth="1"/>
    <col min="7940" max="7940" width="63.6640625" style="206" customWidth="1"/>
    <col min="7941" max="7941" width="34.6640625" style="206" customWidth="1"/>
    <col min="7942" max="7942" width="14.109375" style="206" customWidth="1"/>
    <col min="7943" max="7943" width="35.44140625" style="206" customWidth="1"/>
    <col min="7944" max="7944" width="9.6640625" style="206" customWidth="1"/>
    <col min="7945" max="8192" width="9.109375" style="206"/>
    <col min="8193" max="8193" width="1.6640625" style="206" customWidth="1"/>
    <col min="8194" max="8194" width="20.109375" style="206" customWidth="1"/>
    <col min="8195" max="8195" width="32.44140625" style="206" customWidth="1"/>
    <col min="8196" max="8196" width="63.6640625" style="206" customWidth="1"/>
    <col min="8197" max="8197" width="34.6640625" style="206" customWidth="1"/>
    <col min="8198" max="8198" width="14.109375" style="206" customWidth="1"/>
    <col min="8199" max="8199" width="35.44140625" style="206" customWidth="1"/>
    <col min="8200" max="8200" width="9.6640625" style="206" customWidth="1"/>
    <col min="8201" max="8448" width="9.109375" style="206"/>
    <col min="8449" max="8449" width="1.6640625" style="206" customWidth="1"/>
    <col min="8450" max="8450" width="20.109375" style="206" customWidth="1"/>
    <col min="8451" max="8451" width="32.44140625" style="206" customWidth="1"/>
    <col min="8452" max="8452" width="63.6640625" style="206" customWidth="1"/>
    <col min="8453" max="8453" width="34.6640625" style="206" customWidth="1"/>
    <col min="8454" max="8454" width="14.109375" style="206" customWidth="1"/>
    <col min="8455" max="8455" width="35.44140625" style="206" customWidth="1"/>
    <col min="8456" max="8456" width="9.6640625" style="206" customWidth="1"/>
    <col min="8457" max="8704" width="9.109375" style="206"/>
    <col min="8705" max="8705" width="1.6640625" style="206" customWidth="1"/>
    <col min="8706" max="8706" width="20.109375" style="206" customWidth="1"/>
    <col min="8707" max="8707" width="32.44140625" style="206" customWidth="1"/>
    <col min="8708" max="8708" width="63.6640625" style="206" customWidth="1"/>
    <col min="8709" max="8709" width="34.6640625" style="206" customWidth="1"/>
    <col min="8710" max="8710" width="14.109375" style="206" customWidth="1"/>
    <col min="8711" max="8711" width="35.44140625" style="206" customWidth="1"/>
    <col min="8712" max="8712" width="9.6640625" style="206" customWidth="1"/>
    <col min="8713" max="8960" width="9.109375" style="206"/>
    <col min="8961" max="8961" width="1.6640625" style="206" customWidth="1"/>
    <col min="8962" max="8962" width="20.109375" style="206" customWidth="1"/>
    <col min="8963" max="8963" width="32.44140625" style="206" customWidth="1"/>
    <col min="8964" max="8964" width="63.6640625" style="206" customWidth="1"/>
    <col min="8965" max="8965" width="34.6640625" style="206" customWidth="1"/>
    <col min="8966" max="8966" width="14.109375" style="206" customWidth="1"/>
    <col min="8967" max="8967" width="35.44140625" style="206" customWidth="1"/>
    <col min="8968" max="8968" width="9.6640625" style="206" customWidth="1"/>
    <col min="8969" max="9216" width="9.109375" style="206"/>
    <col min="9217" max="9217" width="1.6640625" style="206" customWidth="1"/>
    <col min="9218" max="9218" width="20.109375" style="206" customWidth="1"/>
    <col min="9219" max="9219" width="32.44140625" style="206" customWidth="1"/>
    <col min="9220" max="9220" width="63.6640625" style="206" customWidth="1"/>
    <col min="9221" max="9221" width="34.6640625" style="206" customWidth="1"/>
    <col min="9222" max="9222" width="14.109375" style="206" customWidth="1"/>
    <col min="9223" max="9223" width="35.44140625" style="206" customWidth="1"/>
    <col min="9224" max="9224" width="9.6640625" style="206" customWidth="1"/>
    <col min="9225" max="9472" width="9.109375" style="206"/>
    <col min="9473" max="9473" width="1.6640625" style="206" customWidth="1"/>
    <col min="9474" max="9474" width="20.109375" style="206" customWidth="1"/>
    <col min="9475" max="9475" width="32.44140625" style="206" customWidth="1"/>
    <col min="9476" max="9476" width="63.6640625" style="206" customWidth="1"/>
    <col min="9477" max="9477" width="34.6640625" style="206" customWidth="1"/>
    <col min="9478" max="9478" width="14.109375" style="206" customWidth="1"/>
    <col min="9479" max="9479" width="35.44140625" style="206" customWidth="1"/>
    <col min="9480" max="9480" width="9.6640625" style="206" customWidth="1"/>
    <col min="9481" max="9728" width="9.109375" style="206"/>
    <col min="9729" max="9729" width="1.6640625" style="206" customWidth="1"/>
    <col min="9730" max="9730" width="20.109375" style="206" customWidth="1"/>
    <col min="9731" max="9731" width="32.44140625" style="206" customWidth="1"/>
    <col min="9732" max="9732" width="63.6640625" style="206" customWidth="1"/>
    <col min="9733" max="9733" width="34.6640625" style="206" customWidth="1"/>
    <col min="9734" max="9734" width="14.109375" style="206" customWidth="1"/>
    <col min="9735" max="9735" width="35.44140625" style="206" customWidth="1"/>
    <col min="9736" max="9736" width="9.6640625" style="206" customWidth="1"/>
    <col min="9737" max="9984" width="9.109375" style="206"/>
    <col min="9985" max="9985" width="1.6640625" style="206" customWidth="1"/>
    <col min="9986" max="9986" width="20.109375" style="206" customWidth="1"/>
    <col min="9987" max="9987" width="32.44140625" style="206" customWidth="1"/>
    <col min="9988" max="9988" width="63.6640625" style="206" customWidth="1"/>
    <col min="9989" max="9989" width="34.6640625" style="206" customWidth="1"/>
    <col min="9990" max="9990" width="14.109375" style="206" customWidth="1"/>
    <col min="9991" max="9991" width="35.44140625" style="206" customWidth="1"/>
    <col min="9992" max="9992" width="9.6640625" style="206" customWidth="1"/>
    <col min="9993" max="10240" width="9.109375" style="206"/>
    <col min="10241" max="10241" width="1.6640625" style="206" customWidth="1"/>
    <col min="10242" max="10242" width="20.109375" style="206" customWidth="1"/>
    <col min="10243" max="10243" width="32.44140625" style="206" customWidth="1"/>
    <col min="10244" max="10244" width="63.6640625" style="206" customWidth="1"/>
    <col min="10245" max="10245" width="34.6640625" style="206" customWidth="1"/>
    <col min="10246" max="10246" width="14.109375" style="206" customWidth="1"/>
    <col min="10247" max="10247" width="35.44140625" style="206" customWidth="1"/>
    <col min="10248" max="10248" width="9.6640625" style="206" customWidth="1"/>
    <col min="10249" max="10496" width="9.109375" style="206"/>
    <col min="10497" max="10497" width="1.6640625" style="206" customWidth="1"/>
    <col min="10498" max="10498" width="20.109375" style="206" customWidth="1"/>
    <col min="10499" max="10499" width="32.44140625" style="206" customWidth="1"/>
    <col min="10500" max="10500" width="63.6640625" style="206" customWidth="1"/>
    <col min="10501" max="10501" width="34.6640625" style="206" customWidth="1"/>
    <col min="10502" max="10502" width="14.109375" style="206" customWidth="1"/>
    <col min="10503" max="10503" width="35.44140625" style="206" customWidth="1"/>
    <col min="10504" max="10504" width="9.6640625" style="206" customWidth="1"/>
    <col min="10505" max="10752" width="9.109375" style="206"/>
    <col min="10753" max="10753" width="1.6640625" style="206" customWidth="1"/>
    <col min="10754" max="10754" width="20.109375" style="206" customWidth="1"/>
    <col min="10755" max="10755" width="32.44140625" style="206" customWidth="1"/>
    <col min="10756" max="10756" width="63.6640625" style="206" customWidth="1"/>
    <col min="10757" max="10757" width="34.6640625" style="206" customWidth="1"/>
    <col min="10758" max="10758" width="14.109375" style="206" customWidth="1"/>
    <col min="10759" max="10759" width="35.44140625" style="206" customWidth="1"/>
    <col min="10760" max="10760" width="9.6640625" style="206" customWidth="1"/>
    <col min="10761" max="11008" width="9.109375" style="206"/>
    <col min="11009" max="11009" width="1.6640625" style="206" customWidth="1"/>
    <col min="11010" max="11010" width="20.109375" style="206" customWidth="1"/>
    <col min="11011" max="11011" width="32.44140625" style="206" customWidth="1"/>
    <col min="11012" max="11012" width="63.6640625" style="206" customWidth="1"/>
    <col min="11013" max="11013" width="34.6640625" style="206" customWidth="1"/>
    <col min="11014" max="11014" width="14.109375" style="206" customWidth="1"/>
    <col min="11015" max="11015" width="35.44140625" style="206" customWidth="1"/>
    <col min="11016" max="11016" width="9.6640625" style="206" customWidth="1"/>
    <col min="11017" max="11264" width="9.109375" style="206"/>
    <col min="11265" max="11265" width="1.6640625" style="206" customWidth="1"/>
    <col min="11266" max="11266" width="20.109375" style="206" customWidth="1"/>
    <col min="11267" max="11267" width="32.44140625" style="206" customWidth="1"/>
    <col min="11268" max="11268" width="63.6640625" style="206" customWidth="1"/>
    <col min="11269" max="11269" width="34.6640625" style="206" customWidth="1"/>
    <col min="11270" max="11270" width="14.109375" style="206" customWidth="1"/>
    <col min="11271" max="11271" width="35.44140625" style="206" customWidth="1"/>
    <col min="11272" max="11272" width="9.6640625" style="206" customWidth="1"/>
    <col min="11273" max="11520" width="9.109375" style="206"/>
    <col min="11521" max="11521" width="1.6640625" style="206" customWidth="1"/>
    <col min="11522" max="11522" width="20.109375" style="206" customWidth="1"/>
    <col min="11523" max="11523" width="32.44140625" style="206" customWidth="1"/>
    <col min="11524" max="11524" width="63.6640625" style="206" customWidth="1"/>
    <col min="11525" max="11525" width="34.6640625" style="206" customWidth="1"/>
    <col min="11526" max="11526" width="14.109375" style="206" customWidth="1"/>
    <col min="11527" max="11527" width="35.44140625" style="206" customWidth="1"/>
    <col min="11528" max="11528" width="9.6640625" style="206" customWidth="1"/>
    <col min="11529" max="11776" width="9.109375" style="206"/>
    <col min="11777" max="11777" width="1.6640625" style="206" customWidth="1"/>
    <col min="11778" max="11778" width="20.109375" style="206" customWidth="1"/>
    <col min="11779" max="11779" width="32.44140625" style="206" customWidth="1"/>
    <col min="11780" max="11780" width="63.6640625" style="206" customWidth="1"/>
    <col min="11781" max="11781" width="34.6640625" style="206" customWidth="1"/>
    <col min="11782" max="11782" width="14.109375" style="206" customWidth="1"/>
    <col min="11783" max="11783" width="35.44140625" style="206" customWidth="1"/>
    <col min="11784" max="11784" width="9.6640625" style="206" customWidth="1"/>
    <col min="11785" max="12032" width="9.109375" style="206"/>
    <col min="12033" max="12033" width="1.6640625" style="206" customWidth="1"/>
    <col min="12034" max="12034" width="20.109375" style="206" customWidth="1"/>
    <col min="12035" max="12035" width="32.44140625" style="206" customWidth="1"/>
    <col min="12036" max="12036" width="63.6640625" style="206" customWidth="1"/>
    <col min="12037" max="12037" width="34.6640625" style="206" customWidth="1"/>
    <col min="12038" max="12038" width="14.109375" style="206" customWidth="1"/>
    <col min="12039" max="12039" width="35.44140625" style="206" customWidth="1"/>
    <col min="12040" max="12040" width="9.6640625" style="206" customWidth="1"/>
    <col min="12041" max="12288" width="9.109375" style="206"/>
    <col min="12289" max="12289" width="1.6640625" style="206" customWidth="1"/>
    <col min="12290" max="12290" width="20.109375" style="206" customWidth="1"/>
    <col min="12291" max="12291" width="32.44140625" style="206" customWidth="1"/>
    <col min="12292" max="12292" width="63.6640625" style="206" customWidth="1"/>
    <col min="12293" max="12293" width="34.6640625" style="206" customWidth="1"/>
    <col min="12294" max="12294" width="14.109375" style="206" customWidth="1"/>
    <col min="12295" max="12295" width="35.44140625" style="206" customWidth="1"/>
    <col min="12296" max="12296" width="9.6640625" style="206" customWidth="1"/>
    <col min="12297" max="12544" width="9.109375" style="206"/>
    <col min="12545" max="12545" width="1.6640625" style="206" customWidth="1"/>
    <col min="12546" max="12546" width="20.109375" style="206" customWidth="1"/>
    <col min="12547" max="12547" width="32.44140625" style="206" customWidth="1"/>
    <col min="12548" max="12548" width="63.6640625" style="206" customWidth="1"/>
    <col min="12549" max="12549" width="34.6640625" style="206" customWidth="1"/>
    <col min="12550" max="12550" width="14.109375" style="206" customWidth="1"/>
    <col min="12551" max="12551" width="35.44140625" style="206" customWidth="1"/>
    <col min="12552" max="12552" width="9.6640625" style="206" customWidth="1"/>
    <col min="12553" max="12800" width="9.109375" style="206"/>
    <col min="12801" max="12801" width="1.6640625" style="206" customWidth="1"/>
    <col min="12802" max="12802" width="20.109375" style="206" customWidth="1"/>
    <col min="12803" max="12803" width="32.44140625" style="206" customWidth="1"/>
    <col min="12804" max="12804" width="63.6640625" style="206" customWidth="1"/>
    <col min="12805" max="12805" width="34.6640625" style="206" customWidth="1"/>
    <col min="12806" max="12806" width="14.109375" style="206" customWidth="1"/>
    <col min="12807" max="12807" width="35.44140625" style="206" customWidth="1"/>
    <col min="12808" max="12808" width="9.6640625" style="206" customWidth="1"/>
    <col min="12809" max="13056" width="9.109375" style="206"/>
    <col min="13057" max="13057" width="1.6640625" style="206" customWidth="1"/>
    <col min="13058" max="13058" width="20.109375" style="206" customWidth="1"/>
    <col min="13059" max="13059" width="32.44140625" style="206" customWidth="1"/>
    <col min="13060" max="13060" width="63.6640625" style="206" customWidth="1"/>
    <col min="13061" max="13061" width="34.6640625" style="206" customWidth="1"/>
    <col min="13062" max="13062" width="14.109375" style="206" customWidth="1"/>
    <col min="13063" max="13063" width="35.44140625" style="206" customWidth="1"/>
    <col min="13064" max="13064" width="9.6640625" style="206" customWidth="1"/>
    <col min="13065" max="13312" width="9.109375" style="206"/>
    <col min="13313" max="13313" width="1.6640625" style="206" customWidth="1"/>
    <col min="13314" max="13314" width="20.109375" style="206" customWidth="1"/>
    <col min="13315" max="13315" width="32.44140625" style="206" customWidth="1"/>
    <col min="13316" max="13316" width="63.6640625" style="206" customWidth="1"/>
    <col min="13317" max="13317" width="34.6640625" style="206" customWidth="1"/>
    <col min="13318" max="13318" width="14.109375" style="206" customWidth="1"/>
    <col min="13319" max="13319" width="35.44140625" style="206" customWidth="1"/>
    <col min="13320" max="13320" width="9.6640625" style="206" customWidth="1"/>
    <col min="13321" max="13568" width="9.109375" style="206"/>
    <col min="13569" max="13569" width="1.6640625" style="206" customWidth="1"/>
    <col min="13570" max="13570" width="20.109375" style="206" customWidth="1"/>
    <col min="13571" max="13571" width="32.44140625" style="206" customWidth="1"/>
    <col min="13572" max="13572" width="63.6640625" style="206" customWidth="1"/>
    <col min="13573" max="13573" width="34.6640625" style="206" customWidth="1"/>
    <col min="13574" max="13574" width="14.109375" style="206" customWidth="1"/>
    <col min="13575" max="13575" width="35.44140625" style="206" customWidth="1"/>
    <col min="13576" max="13576" width="9.6640625" style="206" customWidth="1"/>
    <col min="13577" max="13824" width="9.109375" style="206"/>
    <col min="13825" max="13825" width="1.6640625" style="206" customWidth="1"/>
    <col min="13826" max="13826" width="20.109375" style="206" customWidth="1"/>
    <col min="13827" max="13827" width="32.44140625" style="206" customWidth="1"/>
    <col min="13828" max="13828" width="63.6640625" style="206" customWidth="1"/>
    <col min="13829" max="13829" width="34.6640625" style="206" customWidth="1"/>
    <col min="13830" max="13830" width="14.109375" style="206" customWidth="1"/>
    <col min="13831" max="13831" width="35.44140625" style="206" customWidth="1"/>
    <col min="13832" max="13832" width="9.6640625" style="206" customWidth="1"/>
    <col min="13833" max="14080" width="9.109375" style="206"/>
    <col min="14081" max="14081" width="1.6640625" style="206" customWidth="1"/>
    <col min="14082" max="14082" width="20.109375" style="206" customWidth="1"/>
    <col min="14083" max="14083" width="32.44140625" style="206" customWidth="1"/>
    <col min="14084" max="14084" width="63.6640625" style="206" customWidth="1"/>
    <col min="14085" max="14085" width="34.6640625" style="206" customWidth="1"/>
    <col min="14086" max="14086" width="14.109375" style="206" customWidth="1"/>
    <col min="14087" max="14087" width="35.44140625" style="206" customWidth="1"/>
    <col min="14088" max="14088" width="9.6640625" style="206" customWidth="1"/>
    <col min="14089" max="14336" width="9.109375" style="206"/>
    <col min="14337" max="14337" width="1.6640625" style="206" customWidth="1"/>
    <col min="14338" max="14338" width="20.109375" style="206" customWidth="1"/>
    <col min="14339" max="14339" width="32.44140625" style="206" customWidth="1"/>
    <col min="14340" max="14340" width="63.6640625" style="206" customWidth="1"/>
    <col min="14341" max="14341" width="34.6640625" style="206" customWidth="1"/>
    <col min="14342" max="14342" width="14.109375" style="206" customWidth="1"/>
    <col min="14343" max="14343" width="35.44140625" style="206" customWidth="1"/>
    <col min="14344" max="14344" width="9.6640625" style="206" customWidth="1"/>
    <col min="14345" max="14592" width="9.109375" style="206"/>
    <col min="14593" max="14593" width="1.6640625" style="206" customWidth="1"/>
    <col min="14594" max="14594" width="20.109375" style="206" customWidth="1"/>
    <col min="14595" max="14595" width="32.44140625" style="206" customWidth="1"/>
    <col min="14596" max="14596" width="63.6640625" style="206" customWidth="1"/>
    <col min="14597" max="14597" width="34.6640625" style="206" customWidth="1"/>
    <col min="14598" max="14598" width="14.109375" style="206" customWidth="1"/>
    <col min="14599" max="14599" width="35.44140625" style="206" customWidth="1"/>
    <col min="14600" max="14600" width="9.6640625" style="206" customWidth="1"/>
    <col min="14601" max="14848" width="9.109375" style="206"/>
    <col min="14849" max="14849" width="1.6640625" style="206" customWidth="1"/>
    <col min="14850" max="14850" width="20.109375" style="206" customWidth="1"/>
    <col min="14851" max="14851" width="32.44140625" style="206" customWidth="1"/>
    <col min="14852" max="14852" width="63.6640625" style="206" customWidth="1"/>
    <col min="14853" max="14853" width="34.6640625" style="206" customWidth="1"/>
    <col min="14854" max="14854" width="14.109375" style="206" customWidth="1"/>
    <col min="14855" max="14855" width="35.44140625" style="206" customWidth="1"/>
    <col min="14856" max="14856" width="9.6640625" style="206" customWidth="1"/>
    <col min="14857" max="15104" width="9.109375" style="206"/>
    <col min="15105" max="15105" width="1.6640625" style="206" customWidth="1"/>
    <col min="15106" max="15106" width="20.109375" style="206" customWidth="1"/>
    <col min="15107" max="15107" width="32.44140625" style="206" customWidth="1"/>
    <col min="15108" max="15108" width="63.6640625" style="206" customWidth="1"/>
    <col min="15109" max="15109" width="34.6640625" style="206" customWidth="1"/>
    <col min="15110" max="15110" width="14.109375" style="206" customWidth="1"/>
    <col min="15111" max="15111" width="35.44140625" style="206" customWidth="1"/>
    <col min="15112" max="15112" width="9.6640625" style="206" customWidth="1"/>
    <col min="15113" max="15360" width="9.109375" style="206"/>
    <col min="15361" max="15361" width="1.6640625" style="206" customWidth="1"/>
    <col min="15362" max="15362" width="20.109375" style="206" customWidth="1"/>
    <col min="15363" max="15363" width="32.44140625" style="206" customWidth="1"/>
    <col min="15364" max="15364" width="63.6640625" style="206" customWidth="1"/>
    <col min="15365" max="15365" width="34.6640625" style="206" customWidth="1"/>
    <col min="15366" max="15366" width="14.109375" style="206" customWidth="1"/>
    <col min="15367" max="15367" width="35.44140625" style="206" customWidth="1"/>
    <col min="15368" max="15368" width="9.6640625" style="206" customWidth="1"/>
    <col min="15369" max="15616" width="9.109375" style="206"/>
    <col min="15617" max="15617" width="1.6640625" style="206" customWidth="1"/>
    <col min="15618" max="15618" width="20.109375" style="206" customWidth="1"/>
    <col min="15619" max="15619" width="32.44140625" style="206" customWidth="1"/>
    <col min="15620" max="15620" width="63.6640625" style="206" customWidth="1"/>
    <col min="15621" max="15621" width="34.6640625" style="206" customWidth="1"/>
    <col min="15622" max="15622" width="14.109375" style="206" customWidth="1"/>
    <col min="15623" max="15623" width="35.44140625" style="206" customWidth="1"/>
    <col min="15624" max="15624" width="9.6640625" style="206" customWidth="1"/>
    <col min="15625" max="15872" width="9.109375" style="206"/>
    <col min="15873" max="15873" width="1.6640625" style="206" customWidth="1"/>
    <col min="15874" max="15874" width="20.109375" style="206" customWidth="1"/>
    <col min="15875" max="15875" width="32.44140625" style="206" customWidth="1"/>
    <col min="15876" max="15876" width="63.6640625" style="206" customWidth="1"/>
    <col min="15877" max="15877" width="34.6640625" style="206" customWidth="1"/>
    <col min="15878" max="15878" width="14.109375" style="206" customWidth="1"/>
    <col min="15879" max="15879" width="35.44140625" style="206" customWidth="1"/>
    <col min="15880" max="15880" width="9.6640625" style="206" customWidth="1"/>
    <col min="15881" max="16128" width="9.109375" style="206"/>
    <col min="16129" max="16129" width="1.6640625" style="206" customWidth="1"/>
    <col min="16130" max="16130" width="20.109375" style="206" customWidth="1"/>
    <col min="16131" max="16131" width="32.44140625" style="206" customWidth="1"/>
    <col min="16132" max="16132" width="63.6640625" style="206" customWidth="1"/>
    <col min="16133" max="16133" width="34.6640625" style="206" customWidth="1"/>
    <col min="16134" max="16134" width="14.109375" style="206" customWidth="1"/>
    <col min="16135" max="16135" width="35.44140625" style="206" customWidth="1"/>
    <col min="16136" max="16136" width="9.6640625" style="206" customWidth="1"/>
    <col min="16137" max="16384" width="9.109375" style="206"/>
  </cols>
  <sheetData>
    <row r="1" spans="1:8" s="315" customFormat="1" ht="17.399999999999999" x14ac:dyDescent="0.25">
      <c r="A1" s="197" t="s">
        <v>912</v>
      </c>
      <c r="B1" s="197"/>
      <c r="C1" s="198"/>
      <c r="D1" s="443" t="s">
        <v>1098</v>
      </c>
      <c r="E1" s="199"/>
      <c r="F1" s="198"/>
      <c r="G1" s="198"/>
      <c r="H1" s="314"/>
    </row>
    <row r="2" spans="1:8" s="315" customFormat="1" ht="12.75" customHeight="1" x14ac:dyDescent="0.25">
      <c r="A2" s="197"/>
      <c r="B2" s="197"/>
      <c r="C2" s="198"/>
      <c r="F2" s="198"/>
      <c r="G2" s="198"/>
      <c r="H2" s="316"/>
    </row>
    <row r="3" spans="1:8" s="315" customFormat="1" x14ac:dyDescent="0.25">
      <c r="B3" s="198" t="s">
        <v>95</v>
      </c>
      <c r="C3" s="198"/>
      <c r="D3" s="199"/>
      <c r="E3" s="199"/>
      <c r="F3" s="317"/>
      <c r="G3" s="317"/>
      <c r="H3" s="314"/>
    </row>
    <row r="4" spans="1:8" s="315" customFormat="1" x14ac:dyDescent="0.25">
      <c r="B4" s="198" t="s">
        <v>96</v>
      </c>
      <c r="C4" s="198"/>
      <c r="D4" s="199"/>
      <c r="E4" s="199"/>
      <c r="F4" s="317"/>
      <c r="G4" s="317"/>
      <c r="H4" s="314"/>
    </row>
    <row r="5" spans="1:8" s="315" customFormat="1" x14ac:dyDescent="0.25">
      <c r="B5" s="198" t="s">
        <v>97</v>
      </c>
      <c r="C5" s="198"/>
      <c r="D5" s="199"/>
      <c r="E5" s="199"/>
      <c r="F5" s="317"/>
      <c r="G5" s="317"/>
      <c r="H5" s="314"/>
    </row>
    <row r="6" spans="1:8" s="315" customFormat="1" x14ac:dyDescent="0.25">
      <c r="B6" s="198" t="s">
        <v>765</v>
      </c>
      <c r="C6" s="198"/>
      <c r="D6" s="199"/>
      <c r="E6" s="199"/>
      <c r="F6" s="317"/>
      <c r="G6" s="317"/>
      <c r="H6" s="314"/>
    </row>
    <row r="7" spans="1:8" s="315" customFormat="1" x14ac:dyDescent="0.25">
      <c r="B7" s="198"/>
      <c r="C7" s="198"/>
      <c r="D7" s="199"/>
      <c r="E7" s="199"/>
      <c r="F7" s="317"/>
      <c r="G7" s="317"/>
      <c r="H7" s="314"/>
    </row>
    <row r="8" spans="1:8" s="315" customFormat="1" x14ac:dyDescent="0.25">
      <c r="B8" s="2" t="s">
        <v>633</v>
      </c>
      <c r="C8" s="198"/>
      <c r="D8" s="199"/>
      <c r="E8" s="199"/>
      <c r="F8" s="317"/>
      <c r="G8" s="317"/>
      <c r="H8" s="314"/>
    </row>
    <row r="9" spans="1:8" s="315" customFormat="1" x14ac:dyDescent="0.25">
      <c r="B9" s="198"/>
      <c r="C9" s="198"/>
      <c r="F9" s="318"/>
      <c r="G9" s="318"/>
      <c r="H9" s="316"/>
    </row>
    <row r="10" spans="1:8" x14ac:dyDescent="0.25">
      <c r="B10" s="319" t="s">
        <v>7</v>
      </c>
      <c r="C10" s="319" t="s">
        <v>52</v>
      </c>
      <c r="D10" s="319" t="s">
        <v>3</v>
      </c>
      <c r="E10" s="319" t="s">
        <v>106</v>
      </c>
      <c r="F10" s="319" t="s">
        <v>101</v>
      </c>
      <c r="G10" s="319" t="s">
        <v>53</v>
      </c>
      <c r="H10" s="319" t="s">
        <v>10</v>
      </c>
    </row>
    <row r="11" spans="1:8" ht="92.4" x14ac:dyDescent="0.25">
      <c r="B11" s="320" t="s">
        <v>54</v>
      </c>
      <c r="C11" s="320"/>
      <c r="D11" s="321" t="s">
        <v>766</v>
      </c>
      <c r="E11" s="321" t="s">
        <v>530</v>
      </c>
      <c r="F11" s="344" t="s">
        <v>101</v>
      </c>
      <c r="G11" s="344" t="s">
        <v>531</v>
      </c>
      <c r="H11" s="323"/>
    </row>
    <row r="12" spans="1:8" ht="25.5" customHeight="1" x14ac:dyDescent="0.25">
      <c r="B12" s="365"/>
      <c r="C12" s="283" t="s">
        <v>56</v>
      </c>
      <c r="D12" s="284" t="s">
        <v>1046</v>
      </c>
      <c r="E12" s="284" t="s">
        <v>121</v>
      </c>
      <c r="F12" s="379"/>
      <c r="G12" s="365"/>
      <c r="H12" s="324" t="s">
        <v>55</v>
      </c>
    </row>
    <row r="13" spans="1:8" ht="25.5" customHeight="1" x14ac:dyDescent="0.25">
      <c r="B13" s="365"/>
      <c r="C13" s="283" t="s">
        <v>767</v>
      </c>
      <c r="D13" s="284" t="s">
        <v>1047</v>
      </c>
      <c r="E13" s="284" t="s">
        <v>121</v>
      </c>
      <c r="F13" s="379"/>
      <c r="G13" s="365"/>
      <c r="H13" s="324" t="s">
        <v>55</v>
      </c>
    </row>
    <row r="14" spans="1:8" ht="25.5" customHeight="1" x14ac:dyDescent="0.25">
      <c r="B14" s="365"/>
      <c r="C14" s="283" t="s">
        <v>768</v>
      </c>
      <c r="D14" s="284" t="s">
        <v>769</v>
      </c>
      <c r="E14" s="284" t="s">
        <v>121</v>
      </c>
      <c r="F14" s="379"/>
      <c r="G14" s="365"/>
      <c r="H14" s="324" t="s">
        <v>55</v>
      </c>
    </row>
    <row r="15" spans="1:8" ht="25.5" customHeight="1" x14ac:dyDescent="0.25">
      <c r="B15" s="365"/>
      <c r="C15" s="283" t="s">
        <v>770</v>
      </c>
      <c r="D15" s="284" t="s">
        <v>1048</v>
      </c>
      <c r="E15" s="284" t="s">
        <v>121</v>
      </c>
      <c r="F15" s="379"/>
      <c r="G15" s="365"/>
      <c r="H15" s="324" t="s">
        <v>55</v>
      </c>
    </row>
    <row r="16" spans="1:8" ht="25.5" customHeight="1" x14ac:dyDescent="0.25">
      <c r="B16" s="365"/>
      <c r="C16" s="283" t="s">
        <v>771</v>
      </c>
      <c r="D16" s="284" t="s">
        <v>1049</v>
      </c>
      <c r="E16" s="284" t="s">
        <v>121</v>
      </c>
      <c r="F16" s="379"/>
      <c r="G16" s="365"/>
      <c r="H16" s="324" t="s">
        <v>55</v>
      </c>
    </row>
    <row r="17" spans="2:9" ht="25.5" customHeight="1" x14ac:dyDescent="0.25">
      <c r="B17" s="365"/>
      <c r="C17" s="283" t="s">
        <v>772</v>
      </c>
      <c r="D17" s="284" t="s">
        <v>1050</v>
      </c>
      <c r="E17" s="284" t="s">
        <v>121</v>
      </c>
      <c r="F17" s="379"/>
      <c r="G17" s="365"/>
      <c r="H17" s="324" t="s">
        <v>55</v>
      </c>
    </row>
    <row r="18" spans="2:9" ht="25.5" customHeight="1" x14ac:dyDescent="0.25">
      <c r="B18" s="365"/>
      <c r="C18" s="283" t="s">
        <v>773</v>
      </c>
      <c r="D18" s="284" t="s">
        <v>1051</v>
      </c>
      <c r="E18" s="284" t="s">
        <v>121</v>
      </c>
      <c r="F18" s="379"/>
      <c r="G18" s="366"/>
      <c r="H18" s="324" t="s">
        <v>55</v>
      </c>
    </row>
    <row r="19" spans="2:9" ht="25.5" customHeight="1" x14ac:dyDescent="0.25">
      <c r="B19" s="365"/>
      <c r="C19" s="283" t="s">
        <v>774</v>
      </c>
      <c r="D19" s="284" t="s">
        <v>775</v>
      </c>
      <c r="E19" s="284" t="s">
        <v>121</v>
      </c>
      <c r="F19" s="379"/>
      <c r="G19" s="366"/>
      <c r="H19" s="324" t="s">
        <v>55</v>
      </c>
    </row>
    <row r="20" spans="2:9" ht="25.5" customHeight="1" x14ac:dyDescent="0.25">
      <c r="B20" s="365"/>
      <c r="C20" s="283" t="s">
        <v>776</v>
      </c>
      <c r="D20" s="284" t="s">
        <v>1052</v>
      </c>
      <c r="E20" s="284" t="s">
        <v>121</v>
      </c>
      <c r="F20" s="379"/>
      <c r="G20" s="366"/>
      <c r="H20" s="324" t="s">
        <v>55</v>
      </c>
    </row>
    <row r="21" spans="2:9" ht="25.5" customHeight="1" x14ac:dyDescent="0.25">
      <c r="B21" s="365"/>
      <c r="C21" s="283" t="s">
        <v>777</v>
      </c>
      <c r="D21" s="284" t="s">
        <v>1053</v>
      </c>
      <c r="E21" s="284" t="s">
        <v>121</v>
      </c>
      <c r="F21" s="379"/>
      <c r="G21" s="366"/>
      <c r="H21" s="324" t="s">
        <v>55</v>
      </c>
    </row>
    <row r="22" spans="2:9" x14ac:dyDescent="0.25">
      <c r="B22" s="320" t="s">
        <v>58</v>
      </c>
      <c r="C22" s="325"/>
      <c r="D22" s="326" t="s">
        <v>59</v>
      </c>
      <c r="E22" s="326"/>
      <c r="F22" s="377" t="str">
        <f>IF(F23="No", "FAIL", "PASS")</f>
        <v>PASS</v>
      </c>
      <c r="G22" s="327"/>
      <c r="H22" s="323" t="str">
        <f>IF(F$11="DEMO_READ_ONLY", "SHOULD", "MUST")</f>
        <v>MUST</v>
      </c>
    </row>
    <row r="23" spans="2:9" ht="83.25" customHeight="1" x14ac:dyDescent="0.25">
      <c r="B23" s="285"/>
      <c r="C23" s="285" t="s">
        <v>60</v>
      </c>
      <c r="D23" s="345" t="s">
        <v>778</v>
      </c>
      <c r="E23" s="286" t="s">
        <v>286</v>
      </c>
      <c r="F23" s="380"/>
      <c r="G23" s="285"/>
      <c r="H23" s="324" t="s">
        <v>55</v>
      </c>
      <c r="I23" s="328"/>
    </row>
    <row r="24" spans="2:9" x14ac:dyDescent="0.25">
      <c r="B24" s="320" t="s">
        <v>61</v>
      </c>
      <c r="C24" s="320"/>
      <c r="D24" s="321" t="s">
        <v>62</v>
      </c>
      <c r="E24" s="321"/>
      <c r="F24" s="378" t="str">
        <f>IF(OR(F25="No",F26="No",F27="No",F28="No",F29= "No",F30="No",F31= "No",F32= "No",F33= "No",F34= "No",F35= "No"), "FAIL", IF(OR(F25="Other",F27="Other",F28="Other", F29="Other", F30="Other", F31="Other", F33="Other"), "CHECK","PASS"))</f>
        <v>PASS</v>
      </c>
      <c r="G24" s="327"/>
      <c r="H24" s="323" t="str">
        <f>IF(F$11="DEMO_READ_ONLY", "SHOULD", "MUST")</f>
        <v>MUST</v>
      </c>
    </row>
    <row r="25" spans="2:9" ht="42.75" customHeight="1" x14ac:dyDescent="0.25">
      <c r="B25" s="542"/>
      <c r="C25" s="542" t="s">
        <v>63</v>
      </c>
      <c r="D25" s="544" t="s">
        <v>527</v>
      </c>
      <c r="E25" s="533" t="s">
        <v>121</v>
      </c>
      <c r="F25" s="535"/>
      <c r="G25" s="537"/>
      <c r="H25" s="531" t="s">
        <v>55</v>
      </c>
    </row>
    <row r="26" spans="2:9" ht="46.5" customHeight="1" x14ac:dyDescent="0.25">
      <c r="B26" s="543"/>
      <c r="C26" s="543"/>
      <c r="D26" s="545"/>
      <c r="E26" s="534"/>
      <c r="F26" s="536"/>
      <c r="G26" s="534"/>
      <c r="H26" s="532"/>
    </row>
    <row r="27" spans="2:9" ht="120.75" customHeight="1" x14ac:dyDescent="0.25">
      <c r="B27" s="283"/>
      <c r="C27" s="283" t="s">
        <v>64</v>
      </c>
      <c r="D27" s="350" t="s">
        <v>882</v>
      </c>
      <c r="E27" s="284" t="s">
        <v>121</v>
      </c>
      <c r="F27" s="381"/>
      <c r="G27" s="329"/>
      <c r="H27" s="324" t="s">
        <v>55</v>
      </c>
    </row>
    <row r="28" spans="2:9" ht="110.25" customHeight="1" x14ac:dyDescent="0.25">
      <c r="B28" s="283"/>
      <c r="C28" s="283" t="s">
        <v>65</v>
      </c>
      <c r="D28" s="350" t="s">
        <v>953</v>
      </c>
      <c r="E28" s="284" t="s">
        <v>121</v>
      </c>
      <c r="F28" s="381"/>
      <c r="G28" s="329"/>
      <c r="H28" s="324" t="s">
        <v>55</v>
      </c>
    </row>
    <row r="29" spans="2:9" ht="66" x14ac:dyDescent="0.25">
      <c r="B29" s="283"/>
      <c r="C29" s="283" t="s">
        <v>66</v>
      </c>
      <c r="D29" s="350" t="s">
        <v>523</v>
      </c>
      <c r="E29" s="284" t="s">
        <v>121</v>
      </c>
      <c r="F29" s="381"/>
      <c r="G29" s="329"/>
      <c r="H29" s="324" t="s">
        <v>55</v>
      </c>
    </row>
    <row r="30" spans="2:9" ht="49.5" customHeight="1" x14ac:dyDescent="0.25">
      <c r="B30" s="283"/>
      <c r="C30" s="283" t="s">
        <v>67</v>
      </c>
      <c r="D30" s="350" t="s">
        <v>526</v>
      </c>
      <c r="E30" s="284" t="s">
        <v>121</v>
      </c>
      <c r="F30" s="381"/>
      <c r="G30" s="329"/>
      <c r="H30" s="324" t="s">
        <v>55</v>
      </c>
    </row>
    <row r="31" spans="2:9" ht="31.5" customHeight="1" x14ac:dyDescent="0.25">
      <c r="B31" s="542"/>
      <c r="C31" s="542" t="s">
        <v>68</v>
      </c>
      <c r="D31" s="544" t="s">
        <v>69</v>
      </c>
      <c r="E31" s="533" t="s">
        <v>121</v>
      </c>
      <c r="F31" s="538"/>
      <c r="G31" s="537"/>
      <c r="H31" s="531" t="s">
        <v>55</v>
      </c>
    </row>
    <row r="32" spans="2:9" ht="35.25" customHeight="1" x14ac:dyDescent="0.25">
      <c r="B32" s="543"/>
      <c r="C32" s="543"/>
      <c r="D32" s="545"/>
      <c r="E32" s="534"/>
      <c r="F32" s="534"/>
      <c r="G32" s="534"/>
      <c r="H32" s="532"/>
    </row>
    <row r="33" spans="2:9" ht="31.5" customHeight="1" x14ac:dyDescent="0.25">
      <c r="B33" s="541"/>
      <c r="C33" s="560" t="s">
        <v>70</v>
      </c>
      <c r="D33" s="539" t="s">
        <v>986</v>
      </c>
      <c r="E33" s="539" t="s">
        <v>985</v>
      </c>
      <c r="F33" s="541"/>
      <c r="G33" s="541"/>
      <c r="H33" s="324" t="s">
        <v>55</v>
      </c>
    </row>
    <row r="34" spans="2:9" ht="16.5" customHeight="1" x14ac:dyDescent="0.25">
      <c r="B34" s="540"/>
      <c r="C34" s="540"/>
      <c r="D34" s="540"/>
      <c r="E34" s="540"/>
      <c r="F34" s="540"/>
      <c r="G34" s="540"/>
      <c r="H34" s="531" t="s">
        <v>55</v>
      </c>
    </row>
    <row r="35" spans="2:9" ht="18" customHeight="1" x14ac:dyDescent="0.25">
      <c r="B35" s="534"/>
      <c r="C35" s="534"/>
      <c r="D35" s="534"/>
      <c r="E35" s="534"/>
      <c r="F35" s="534"/>
      <c r="G35" s="534"/>
      <c r="H35" s="532"/>
    </row>
    <row r="36" spans="2:9" ht="26.4" x14ac:dyDescent="0.25">
      <c r="B36" s="320" t="s">
        <v>71</v>
      </c>
      <c r="C36" s="320"/>
      <c r="D36" s="321" t="s">
        <v>72</v>
      </c>
      <c r="E36" s="321"/>
      <c r="F36" s="378" t="str">
        <f>IF(OR(F37="None",F38="None",F39="None",F40= "None",F41= "None",F42= "None"), "FAIL", IF(OR(F37="Other",F38="Other", F39="Other", F40="Other", F41="Other", F42="Other"), "CHECK","PASS"))</f>
        <v>PASS</v>
      </c>
      <c r="G36" s="327"/>
      <c r="H36" s="323" t="str">
        <f>IF(F$11="DEMO_READ_ONLY", "SHOULD", "MUST")</f>
        <v>MUST</v>
      </c>
    </row>
    <row r="37" spans="2:9" ht="96" customHeight="1" x14ac:dyDescent="0.25">
      <c r="B37" s="283"/>
      <c r="C37" s="283" t="s">
        <v>73</v>
      </c>
      <c r="D37" s="350" t="s">
        <v>506</v>
      </c>
      <c r="E37" s="284" t="s">
        <v>121</v>
      </c>
      <c r="F37" s="381"/>
      <c r="G37" s="329"/>
      <c r="H37" s="324" t="s">
        <v>55</v>
      </c>
    </row>
    <row r="38" spans="2:9" ht="134.25" customHeight="1" x14ac:dyDescent="0.25">
      <c r="B38" s="283"/>
      <c r="C38" s="283" t="s">
        <v>74</v>
      </c>
      <c r="D38" s="350" t="s">
        <v>505</v>
      </c>
      <c r="E38" s="284" t="s">
        <v>121</v>
      </c>
      <c r="F38" s="381"/>
      <c r="G38" s="329"/>
      <c r="H38" s="324" t="s">
        <v>55</v>
      </c>
    </row>
    <row r="39" spans="2:9" ht="53.4" customHeight="1" x14ac:dyDescent="0.25">
      <c r="B39" s="542"/>
      <c r="C39" s="542" t="s">
        <v>8</v>
      </c>
      <c r="D39" s="544" t="s">
        <v>1060</v>
      </c>
      <c r="E39" s="533" t="s">
        <v>121</v>
      </c>
      <c r="F39" s="538"/>
      <c r="G39" s="558"/>
      <c r="H39" s="531" t="s">
        <v>55</v>
      </c>
      <c r="I39" s="330"/>
    </row>
    <row r="40" spans="2:9" ht="15.75" customHeight="1" x14ac:dyDescent="0.25">
      <c r="B40" s="543"/>
      <c r="C40" s="543"/>
      <c r="D40" s="545"/>
      <c r="E40" s="534"/>
      <c r="F40" s="534"/>
      <c r="G40" s="534"/>
      <c r="H40" s="532"/>
      <c r="I40" s="330"/>
    </row>
    <row r="41" spans="2:9" ht="26.25" customHeight="1" x14ac:dyDescent="0.25">
      <c r="B41" s="542"/>
      <c r="C41" s="542" t="s">
        <v>75</v>
      </c>
      <c r="D41" s="544" t="s">
        <v>1059</v>
      </c>
      <c r="E41" s="533" t="s">
        <v>121</v>
      </c>
      <c r="F41" s="538"/>
      <c r="G41" s="559"/>
      <c r="H41" s="531" t="s">
        <v>55</v>
      </c>
    </row>
    <row r="42" spans="2:9" ht="30.75" customHeight="1" x14ac:dyDescent="0.25">
      <c r="B42" s="543"/>
      <c r="C42" s="543"/>
      <c r="D42" s="545"/>
      <c r="E42" s="534"/>
      <c r="F42" s="534"/>
      <c r="G42" s="534"/>
      <c r="H42" s="532"/>
    </row>
    <row r="43" spans="2:9" ht="39.75" customHeight="1" x14ac:dyDescent="0.25">
      <c r="B43" s="320" t="s">
        <v>779</v>
      </c>
      <c r="C43" s="320"/>
      <c r="D43" s="321" t="s">
        <v>780</v>
      </c>
      <c r="E43" s="321"/>
      <c r="F43" s="378" t="str">
        <f>IF(OR(F44="None"), "FAIL", IF(OR(F44="Other"), "CHECK","PASS"))</f>
        <v>PASS</v>
      </c>
      <c r="G43" s="327"/>
      <c r="H43" s="323" t="str">
        <f>IF(F47="DEMO_READ_ONLY", "SHOULD", "MUST")</f>
        <v>MUST</v>
      </c>
    </row>
    <row r="44" spans="2:9" ht="134.25" customHeight="1" x14ac:dyDescent="0.25">
      <c r="B44" s="346"/>
      <c r="C44" s="347" t="s">
        <v>781</v>
      </c>
      <c r="D44" s="348" t="s">
        <v>1058</v>
      </c>
      <c r="E44" s="286" t="s">
        <v>286</v>
      </c>
      <c r="F44" s="380"/>
      <c r="G44" s="331"/>
      <c r="H44" s="324" t="s">
        <v>55</v>
      </c>
    </row>
    <row r="45" spans="2:9" ht="40.5" customHeight="1" x14ac:dyDescent="0.25">
      <c r="B45" s="320" t="s">
        <v>782</v>
      </c>
      <c r="C45" s="320"/>
      <c r="D45" s="321" t="s">
        <v>783</v>
      </c>
      <c r="E45" s="321"/>
      <c r="F45" s="378" t="str">
        <f>IF(OR(F46="None"), "FAIL", IF(OR(F46="Other"), "CHECK","PASS"))</f>
        <v>PASS</v>
      </c>
      <c r="G45" s="327"/>
      <c r="H45" s="323" t="str">
        <f>IF(F49="DEMO_READ_ONLY", "SHOULD", "MUST")</f>
        <v>MUST</v>
      </c>
    </row>
    <row r="46" spans="2:9" ht="158.25" customHeight="1" x14ac:dyDescent="0.25">
      <c r="B46" s="346"/>
      <c r="C46" s="347" t="s">
        <v>784</v>
      </c>
      <c r="D46" s="348" t="s">
        <v>1057</v>
      </c>
      <c r="E46" s="286" t="s">
        <v>286</v>
      </c>
      <c r="F46" s="380"/>
      <c r="G46" s="331"/>
      <c r="H46" s="324" t="s">
        <v>55</v>
      </c>
    </row>
    <row r="47" spans="2:9" ht="39.6" x14ac:dyDescent="0.25">
      <c r="B47" s="320" t="s">
        <v>76</v>
      </c>
      <c r="C47" s="320"/>
      <c r="D47" s="321" t="s">
        <v>77</v>
      </c>
      <c r="E47" s="321"/>
      <c r="F47" s="378" t="str">
        <f>IF(OR(F49="Yes",F50="Yes"), "FAIL", "PASS")</f>
        <v>PASS</v>
      </c>
      <c r="G47" s="327"/>
      <c r="H47" s="323" t="str">
        <f>IF(F51="DEMO_READ_ONLY", "SHOULD", "MUST")</f>
        <v>MUST</v>
      </c>
    </row>
    <row r="48" spans="2:9" ht="104.25" customHeight="1" x14ac:dyDescent="0.25">
      <c r="B48" s="285"/>
      <c r="C48" s="285" t="s">
        <v>76</v>
      </c>
      <c r="D48" s="286" t="s">
        <v>1056</v>
      </c>
      <c r="E48" s="286" t="s">
        <v>286</v>
      </c>
      <c r="F48" s="380"/>
      <c r="G48" s="332"/>
      <c r="H48" s="324" t="s">
        <v>55</v>
      </c>
    </row>
    <row r="49" spans="2:8" ht="60.75" customHeight="1" x14ac:dyDescent="0.25">
      <c r="B49" s="285"/>
      <c r="C49" s="285" t="s">
        <v>78</v>
      </c>
      <c r="D49" s="286" t="s">
        <v>1055</v>
      </c>
      <c r="E49" s="286" t="s">
        <v>286</v>
      </c>
      <c r="F49" s="380"/>
      <c r="G49" s="332"/>
      <c r="H49" s="324" t="s">
        <v>55</v>
      </c>
    </row>
    <row r="50" spans="2:8" ht="67.5" customHeight="1" x14ac:dyDescent="0.25">
      <c r="B50" s="285"/>
      <c r="C50" s="285" t="s">
        <v>79</v>
      </c>
      <c r="D50" s="286" t="s">
        <v>1054</v>
      </c>
      <c r="E50" s="286" t="s">
        <v>286</v>
      </c>
      <c r="F50" s="380"/>
      <c r="G50" s="332"/>
      <c r="H50" s="324" t="s">
        <v>55</v>
      </c>
    </row>
    <row r="51" spans="2:8" ht="66" x14ac:dyDescent="0.25">
      <c r="B51" s="320" t="s">
        <v>155</v>
      </c>
      <c r="C51" s="320"/>
      <c r="D51" s="321" t="s">
        <v>107</v>
      </c>
      <c r="E51" s="321"/>
      <c r="F51" s="322"/>
      <c r="G51" s="322"/>
      <c r="H51" s="323"/>
    </row>
    <row r="52" spans="2:8" ht="26.4" x14ac:dyDescent="0.25">
      <c r="B52" s="285"/>
      <c r="C52" s="347" t="s">
        <v>785</v>
      </c>
      <c r="D52" s="349" t="s">
        <v>1061</v>
      </c>
      <c r="E52" s="286" t="s">
        <v>286</v>
      </c>
      <c r="F52" s="380"/>
      <c r="G52" s="333"/>
      <c r="H52" s="324" t="s">
        <v>55</v>
      </c>
    </row>
    <row r="53" spans="2:8" ht="26.4" x14ac:dyDescent="0.25">
      <c r="B53" s="285"/>
      <c r="C53" s="347" t="s">
        <v>56</v>
      </c>
      <c r="D53" s="349" t="s">
        <v>1062</v>
      </c>
      <c r="E53" s="286" t="s">
        <v>286</v>
      </c>
      <c r="F53" s="380"/>
      <c r="G53" s="333"/>
      <c r="H53" s="324" t="s">
        <v>55</v>
      </c>
    </row>
    <row r="54" spans="2:8" ht="26.4" x14ac:dyDescent="0.25">
      <c r="B54" s="285"/>
      <c r="C54" s="347" t="s">
        <v>57</v>
      </c>
      <c r="D54" s="349" t="s">
        <v>1063</v>
      </c>
      <c r="E54" s="286" t="s">
        <v>286</v>
      </c>
      <c r="F54" s="380"/>
      <c r="G54" s="333"/>
      <c r="H54" s="324" t="s">
        <v>55</v>
      </c>
    </row>
    <row r="55" spans="2:8" ht="26.4" x14ac:dyDescent="0.25">
      <c r="B55" s="285"/>
      <c r="C55" s="347" t="s">
        <v>786</v>
      </c>
      <c r="D55" s="349" t="s">
        <v>1065</v>
      </c>
      <c r="E55" s="286" t="s">
        <v>286</v>
      </c>
      <c r="F55" s="380"/>
      <c r="G55" s="333"/>
      <c r="H55" s="324" t="s">
        <v>55</v>
      </c>
    </row>
    <row r="56" spans="2:8" ht="26.4" x14ac:dyDescent="0.25">
      <c r="B56" s="285"/>
      <c r="C56" s="347" t="s">
        <v>768</v>
      </c>
      <c r="D56" s="349" t="s">
        <v>1064</v>
      </c>
      <c r="E56" s="286" t="s">
        <v>286</v>
      </c>
      <c r="F56" s="380"/>
      <c r="G56" s="333"/>
      <c r="H56" s="324" t="s">
        <v>55</v>
      </c>
    </row>
    <row r="57" spans="2:8" ht="26.4" x14ac:dyDescent="0.25">
      <c r="B57" s="285"/>
      <c r="C57" s="347" t="s">
        <v>787</v>
      </c>
      <c r="D57" s="349" t="s">
        <v>1066</v>
      </c>
      <c r="E57" s="286" t="s">
        <v>286</v>
      </c>
      <c r="F57" s="380"/>
      <c r="G57" s="333"/>
      <c r="H57" s="324" t="s">
        <v>55</v>
      </c>
    </row>
    <row r="58" spans="2:8" ht="26.4" x14ac:dyDescent="0.25">
      <c r="B58" s="285"/>
      <c r="C58" s="347" t="s">
        <v>788</v>
      </c>
      <c r="D58" s="349" t="s">
        <v>1067</v>
      </c>
      <c r="E58" s="286" t="s">
        <v>286</v>
      </c>
      <c r="F58" s="380"/>
      <c r="G58" s="333"/>
      <c r="H58" s="324" t="s">
        <v>55</v>
      </c>
    </row>
    <row r="59" spans="2:8" ht="26.4" x14ac:dyDescent="0.25">
      <c r="B59" s="285"/>
      <c r="C59" s="347" t="s">
        <v>771</v>
      </c>
      <c r="D59" s="349" t="s">
        <v>1068</v>
      </c>
      <c r="E59" s="286" t="s">
        <v>286</v>
      </c>
      <c r="F59" s="380"/>
      <c r="G59" s="333"/>
      <c r="H59" s="324" t="s">
        <v>55</v>
      </c>
    </row>
    <row r="60" spans="2:8" ht="26.4" x14ac:dyDescent="0.25">
      <c r="B60" s="285"/>
      <c r="C60" s="347" t="s">
        <v>789</v>
      </c>
      <c r="D60" s="349" t="s">
        <v>1069</v>
      </c>
      <c r="E60" s="286" t="s">
        <v>286</v>
      </c>
      <c r="F60" s="380"/>
      <c r="G60" s="333"/>
      <c r="H60" s="324" t="s">
        <v>55</v>
      </c>
    </row>
    <row r="61" spans="2:8" ht="26.4" x14ac:dyDescent="0.25">
      <c r="B61" s="285"/>
      <c r="C61" s="347" t="s">
        <v>790</v>
      </c>
      <c r="D61" s="349" t="s">
        <v>1070</v>
      </c>
      <c r="E61" s="286" t="s">
        <v>286</v>
      </c>
      <c r="F61" s="380"/>
      <c r="G61" s="333"/>
      <c r="H61" s="324" t="s">
        <v>55</v>
      </c>
    </row>
    <row r="62" spans="2:8" ht="26.4" x14ac:dyDescent="0.25">
      <c r="B62" s="285"/>
      <c r="C62" s="347" t="s">
        <v>773</v>
      </c>
      <c r="D62" s="349" t="s">
        <v>1071</v>
      </c>
      <c r="E62" s="286" t="s">
        <v>286</v>
      </c>
      <c r="F62" s="380"/>
      <c r="G62" s="333"/>
      <c r="H62" s="324" t="s">
        <v>55</v>
      </c>
    </row>
    <row r="63" spans="2:8" ht="26.4" x14ac:dyDescent="0.25">
      <c r="B63" s="285"/>
      <c r="C63" s="347" t="s">
        <v>791</v>
      </c>
      <c r="D63" s="349" t="s">
        <v>1072</v>
      </c>
      <c r="E63" s="286" t="s">
        <v>286</v>
      </c>
      <c r="F63" s="380"/>
      <c r="G63" s="333"/>
      <c r="H63" s="324" t="s">
        <v>55</v>
      </c>
    </row>
    <row r="64" spans="2:8" ht="26.4" x14ac:dyDescent="0.25">
      <c r="B64" s="285"/>
      <c r="C64" s="347" t="s">
        <v>792</v>
      </c>
      <c r="D64" s="349" t="s">
        <v>1073</v>
      </c>
      <c r="E64" s="286" t="s">
        <v>286</v>
      </c>
      <c r="F64" s="380"/>
      <c r="G64" s="333"/>
      <c r="H64" s="324" t="s">
        <v>55</v>
      </c>
    </row>
    <row r="65" spans="2:8" ht="26.4" x14ac:dyDescent="0.25">
      <c r="B65" s="285"/>
      <c r="C65" s="347" t="s">
        <v>776</v>
      </c>
      <c r="D65" s="349" t="s">
        <v>1074</v>
      </c>
      <c r="E65" s="286" t="s">
        <v>286</v>
      </c>
      <c r="F65" s="380"/>
      <c r="G65" s="333"/>
      <c r="H65" s="324" t="s">
        <v>55</v>
      </c>
    </row>
    <row r="66" spans="2:8" ht="26.4" x14ac:dyDescent="0.25">
      <c r="B66" s="285"/>
      <c r="C66" s="347" t="s">
        <v>793</v>
      </c>
      <c r="D66" s="349" t="s">
        <v>1075</v>
      </c>
      <c r="E66" s="286" t="s">
        <v>286</v>
      </c>
      <c r="F66" s="380"/>
      <c r="G66" s="333"/>
      <c r="H66" s="324" t="s">
        <v>55</v>
      </c>
    </row>
    <row r="67" spans="2:8" ht="26.4" x14ac:dyDescent="0.25">
      <c r="B67" s="320" t="s">
        <v>80</v>
      </c>
      <c r="C67" s="320"/>
      <c r="D67" s="321" t="s">
        <v>81</v>
      </c>
      <c r="E67" s="321"/>
      <c r="F67" s="322"/>
      <c r="G67" s="322"/>
      <c r="H67" s="323"/>
    </row>
    <row r="68" spans="2:8" ht="24.75" customHeight="1" x14ac:dyDescent="0.25">
      <c r="B68" s="285"/>
      <c r="C68" s="285" t="s">
        <v>105</v>
      </c>
      <c r="D68" s="286" t="s">
        <v>1076</v>
      </c>
      <c r="E68" s="334" t="s">
        <v>286</v>
      </c>
      <c r="F68" s="380"/>
      <c r="G68" s="333"/>
      <c r="H68" s="324" t="s">
        <v>55</v>
      </c>
    </row>
    <row r="69" spans="2:8" ht="24.75" customHeight="1" x14ac:dyDescent="0.25">
      <c r="B69" s="365"/>
      <c r="C69" s="283" t="s">
        <v>1079</v>
      </c>
      <c r="D69" s="284" t="s">
        <v>82</v>
      </c>
      <c r="E69" s="435" t="s">
        <v>121</v>
      </c>
      <c r="F69" s="379"/>
      <c r="G69" s="367"/>
      <c r="H69" s="324" t="s">
        <v>55</v>
      </c>
    </row>
    <row r="70" spans="2:8" x14ac:dyDescent="0.25">
      <c r="B70" s="320" t="s">
        <v>880</v>
      </c>
      <c r="C70" s="320"/>
      <c r="D70" s="321"/>
      <c r="E70" s="321"/>
      <c r="F70" s="322"/>
      <c r="G70" s="322"/>
      <c r="H70" s="323"/>
    </row>
    <row r="71" spans="2:8" ht="66" x14ac:dyDescent="0.25">
      <c r="B71" s="426"/>
      <c r="C71" s="436" t="s">
        <v>976</v>
      </c>
      <c r="D71" s="434" t="s">
        <v>1077</v>
      </c>
      <c r="E71" s="434" t="s">
        <v>881</v>
      </c>
      <c r="F71" s="426"/>
      <c r="G71" s="426"/>
      <c r="H71" s="324" t="s">
        <v>55</v>
      </c>
    </row>
    <row r="72" spans="2:8" ht="51.75" customHeight="1" x14ac:dyDescent="0.25">
      <c r="B72" s="426"/>
      <c r="C72" s="436" t="s">
        <v>977</v>
      </c>
      <c r="D72" s="434" t="s">
        <v>1078</v>
      </c>
      <c r="E72" s="434" t="s">
        <v>881</v>
      </c>
      <c r="F72" s="426"/>
      <c r="G72" s="426"/>
      <c r="H72" s="324" t="s">
        <v>55</v>
      </c>
    </row>
    <row r="73" spans="2:8" s="315" customFormat="1" x14ac:dyDescent="0.25">
      <c r="B73" s="339"/>
      <c r="C73" s="339"/>
      <c r="D73" s="338"/>
      <c r="E73" s="338"/>
      <c r="F73" s="343"/>
      <c r="G73" s="343"/>
      <c r="H73" s="341"/>
    </row>
    <row r="74" spans="2:8" s="315" customFormat="1" ht="15.6" x14ac:dyDescent="0.25">
      <c r="B74" s="337" t="s">
        <v>37</v>
      </c>
      <c r="C74" s="198"/>
      <c r="D74" s="205"/>
      <c r="E74" s="338"/>
      <c r="F74" s="338"/>
      <c r="G74" s="338"/>
      <c r="H74" s="338"/>
    </row>
    <row r="75" spans="2:8" s="339" customFormat="1" ht="13.8" thickBot="1" x14ac:dyDescent="0.3">
      <c r="F75" s="340"/>
      <c r="G75" s="340"/>
      <c r="H75" s="341"/>
    </row>
    <row r="76" spans="2:8" s="339" customFormat="1" ht="39.15" customHeight="1" thickBot="1" x14ac:dyDescent="0.3">
      <c r="B76" s="549" t="str">
        <f>IF(OR(F$22&lt;&gt;"PASS", F$24&lt;&gt;"PASS", F$36&lt;&gt;"PASS",  F$43&lt;&gt;"PASS",  F$45&lt;&gt;"PASS", F$47&lt;&gt;"PASS"), "RISK ASSESSMENT - Provide reference to a separate risk asessment, explaining the nature of the non-standard IG controls, any risks introduced, and the measures in place to mitigate these risks. Conclude as to whether or not the deployment should proceed", "")</f>
        <v/>
      </c>
      <c r="C76" s="550"/>
      <c r="D76" s="550"/>
      <c r="E76" s="550"/>
      <c r="F76" s="550"/>
      <c r="G76" s="550"/>
      <c r="H76" s="551"/>
    </row>
    <row r="77" spans="2:8" s="339" customFormat="1" x14ac:dyDescent="0.25">
      <c r="F77" s="340"/>
      <c r="G77" s="340"/>
      <c r="H77" s="341"/>
    </row>
    <row r="78" spans="2:8" s="339" customFormat="1" x14ac:dyDescent="0.25">
      <c r="F78" s="340"/>
      <c r="G78" s="340"/>
      <c r="H78" s="341"/>
    </row>
    <row r="79" spans="2:8" s="338" customFormat="1" ht="15.6" x14ac:dyDescent="0.25">
      <c r="B79" s="342" t="s">
        <v>38</v>
      </c>
      <c r="C79" s="339"/>
      <c r="F79" s="343"/>
      <c r="G79" s="343"/>
      <c r="H79" s="341"/>
    </row>
    <row r="80" spans="2:8" s="338" customFormat="1" ht="13.8" thickBot="1" x14ac:dyDescent="0.3">
      <c r="B80" s="339"/>
      <c r="C80" s="339"/>
      <c r="F80" s="343"/>
      <c r="G80" s="343"/>
      <c r="H80" s="341"/>
    </row>
    <row r="81" spans="2:8" s="338" customFormat="1" x14ac:dyDescent="0.25">
      <c r="B81" s="552" t="s">
        <v>287</v>
      </c>
      <c r="C81" s="553"/>
      <c r="D81" s="553"/>
      <c r="E81" s="553"/>
      <c r="F81" s="553"/>
      <c r="G81" s="553"/>
      <c r="H81" s="554"/>
    </row>
    <row r="82" spans="2:8" s="339" customFormat="1" x14ac:dyDescent="0.25">
      <c r="B82" s="555" t="str">
        <f>IF(AND(F68="Yes"),"External SIROs - This IG assessment identifies risks which may impact other Health or Social Care Organisation. Therefore the SIROs of these other Health or Social Care Organisations must provide signoff","")</f>
        <v/>
      </c>
      <c r="C82" s="556"/>
      <c r="D82" s="556"/>
      <c r="E82" s="556"/>
      <c r="F82" s="556"/>
      <c r="G82" s="556"/>
      <c r="H82" s="557"/>
    </row>
    <row r="83" spans="2:8" s="338" customFormat="1" ht="13.8" thickBot="1" x14ac:dyDescent="0.3">
      <c r="B83" s="546" t="str">
        <f>IF(AND(F69="Yes"),"CTA - This IG assessment identifies risks which may impact the Spine. Therefore the NHS Digital Cluster Technical Architect must coordinate signoff","")</f>
        <v/>
      </c>
      <c r="C83" s="547"/>
      <c r="D83" s="547"/>
      <c r="E83" s="547"/>
      <c r="F83" s="547"/>
      <c r="G83" s="547"/>
      <c r="H83" s="548"/>
    </row>
    <row r="84" spans="2:8" s="338" customFormat="1" x14ac:dyDescent="0.25">
      <c r="B84" s="339"/>
      <c r="C84" s="339"/>
      <c r="F84" s="343"/>
      <c r="G84" s="343"/>
      <c r="H84" s="341"/>
    </row>
    <row r="85" spans="2:8" s="315" customFormat="1" x14ac:dyDescent="0.25">
      <c r="B85" s="339"/>
      <c r="C85" s="339"/>
      <c r="D85" s="338"/>
      <c r="E85" s="338"/>
      <c r="F85" s="343"/>
      <c r="G85" s="343"/>
      <c r="H85" s="341"/>
    </row>
    <row r="86" spans="2:8" s="315" customFormat="1" x14ac:dyDescent="0.25">
      <c r="B86" s="339"/>
      <c r="C86" s="339"/>
      <c r="D86" s="338"/>
      <c r="E86" s="338"/>
      <c r="F86" s="343"/>
      <c r="G86" s="343"/>
      <c r="H86" s="341"/>
    </row>
    <row r="87" spans="2:8" s="315" customFormat="1" x14ac:dyDescent="0.25">
      <c r="B87" s="339"/>
      <c r="C87" s="339"/>
      <c r="D87" s="338"/>
      <c r="E87" s="338"/>
      <c r="F87" s="343"/>
      <c r="G87" s="343"/>
      <c r="H87" s="341"/>
    </row>
    <row r="88" spans="2:8" s="315" customFormat="1" x14ac:dyDescent="0.25">
      <c r="B88" s="339"/>
      <c r="C88" s="339"/>
      <c r="F88" s="343"/>
      <c r="G88" s="343"/>
      <c r="H88" s="314"/>
    </row>
  </sheetData>
  <sheetProtection selectLockedCells="1"/>
  <mergeCells count="39">
    <mergeCell ref="B33:B35"/>
    <mergeCell ref="C33:C35"/>
    <mergeCell ref="D33:D35"/>
    <mergeCell ref="B25:B26"/>
    <mergeCell ref="C25:C26"/>
    <mergeCell ref="D25:D26"/>
    <mergeCell ref="B31:B32"/>
    <mergeCell ref="C31:C32"/>
    <mergeCell ref="D31:D32"/>
    <mergeCell ref="B39:B40"/>
    <mergeCell ref="C39:C40"/>
    <mergeCell ref="D39:D40"/>
    <mergeCell ref="B83:H83"/>
    <mergeCell ref="B41:B42"/>
    <mergeCell ref="C41:C42"/>
    <mergeCell ref="D41:D42"/>
    <mergeCell ref="B76:H76"/>
    <mergeCell ref="B81:H81"/>
    <mergeCell ref="B82:H82"/>
    <mergeCell ref="E39:E40"/>
    <mergeCell ref="F39:F40"/>
    <mergeCell ref="G39:G40"/>
    <mergeCell ref="E41:E42"/>
    <mergeCell ref="F41:F42"/>
    <mergeCell ref="G41:G42"/>
    <mergeCell ref="H41:H42"/>
    <mergeCell ref="H39:H40"/>
    <mergeCell ref="H34:H35"/>
    <mergeCell ref="H31:H32"/>
    <mergeCell ref="E25:E26"/>
    <mergeCell ref="F25:F26"/>
    <mergeCell ref="G25:G26"/>
    <mergeCell ref="E31:E32"/>
    <mergeCell ref="F31:F32"/>
    <mergeCell ref="G31:G32"/>
    <mergeCell ref="H25:H26"/>
    <mergeCell ref="E33:E35"/>
    <mergeCell ref="F33:F35"/>
    <mergeCell ref="G33:G35"/>
  </mergeCells>
  <conditionalFormatting sqref="G37">
    <cfRule type="expression" dxfId="114" priority="43" stopIfTrue="1">
      <formula>AND($F$37="Alternative Strong Authentication",$G$37="")</formula>
    </cfRule>
    <cfRule type="expression" dxfId="113" priority="47" stopIfTrue="1">
      <formula>AND($F$37="Other",$G$37="")</formula>
    </cfRule>
  </conditionalFormatting>
  <conditionalFormatting sqref="G38">
    <cfRule type="expression" dxfId="112" priority="46" stopIfTrue="1">
      <formula>AND($F$38="Other",$G$38="")</formula>
    </cfRule>
  </conditionalFormatting>
  <conditionalFormatting sqref="G39">
    <cfRule type="expression" dxfId="111" priority="45" stopIfTrue="1">
      <formula>AND($F$39="Other",$G$39="")</formula>
    </cfRule>
  </conditionalFormatting>
  <conditionalFormatting sqref="G41">
    <cfRule type="expression" dxfId="110" priority="44" stopIfTrue="1">
      <formula>AND($F$41="Other",$G$41="")</formula>
    </cfRule>
  </conditionalFormatting>
  <conditionalFormatting sqref="G68">
    <cfRule type="expression" dxfId="109" priority="42" stopIfTrue="1">
      <formula>AND($F68="Yes",$G68="")</formula>
    </cfRule>
  </conditionalFormatting>
  <conditionalFormatting sqref="G44">
    <cfRule type="expression" dxfId="108" priority="39" stopIfTrue="1">
      <formula>AND($F$44="Other",$G$44="")</formula>
    </cfRule>
  </conditionalFormatting>
  <conditionalFormatting sqref="G46">
    <cfRule type="expression" dxfId="107" priority="38" stopIfTrue="1">
      <formula>AND($F$46="Other",$G$46="")</formula>
    </cfRule>
  </conditionalFormatting>
  <conditionalFormatting sqref="G52">
    <cfRule type="expression" dxfId="106" priority="37" stopIfTrue="1">
      <formula>AND($F52="Yes",$G52="")</formula>
    </cfRule>
  </conditionalFormatting>
  <conditionalFormatting sqref="F23">
    <cfRule type="cellIs" dxfId="105" priority="36" stopIfTrue="1" operator="equal">
      <formula>"No"</formula>
    </cfRule>
  </conditionalFormatting>
  <conditionalFormatting sqref="F25">
    <cfRule type="cellIs" dxfId="104" priority="35" stopIfTrue="1" operator="equal">
      <formula>"No"</formula>
    </cfRule>
  </conditionalFormatting>
  <conditionalFormatting sqref="F44">
    <cfRule type="cellIs" dxfId="103" priority="33" stopIfTrue="1" operator="equal">
      <formula>"No"</formula>
    </cfRule>
  </conditionalFormatting>
  <conditionalFormatting sqref="F46">
    <cfRule type="cellIs" dxfId="102" priority="32" stopIfTrue="1" operator="equal">
      <formula>"No"</formula>
    </cfRule>
  </conditionalFormatting>
  <conditionalFormatting sqref="F48">
    <cfRule type="cellIs" dxfId="101" priority="31" stopIfTrue="1" operator="equal">
      <formula>"No"</formula>
    </cfRule>
  </conditionalFormatting>
  <conditionalFormatting sqref="F49">
    <cfRule type="cellIs" dxfId="100" priority="30" stopIfTrue="1" operator="equal">
      <formula>"No"</formula>
    </cfRule>
  </conditionalFormatting>
  <conditionalFormatting sqref="F50">
    <cfRule type="cellIs" dxfId="99" priority="29" stopIfTrue="1" operator="equal">
      <formula>"No"</formula>
    </cfRule>
  </conditionalFormatting>
  <conditionalFormatting sqref="F52">
    <cfRule type="cellIs" dxfId="98" priority="28" stopIfTrue="1" operator="equal">
      <formula>"No"</formula>
    </cfRule>
  </conditionalFormatting>
  <conditionalFormatting sqref="F53">
    <cfRule type="cellIs" dxfId="97" priority="27" stopIfTrue="1" operator="equal">
      <formula>"No"</formula>
    </cfRule>
  </conditionalFormatting>
  <conditionalFormatting sqref="F54">
    <cfRule type="cellIs" dxfId="96" priority="26" stopIfTrue="1" operator="equal">
      <formula>"No"</formula>
    </cfRule>
  </conditionalFormatting>
  <conditionalFormatting sqref="F55">
    <cfRule type="cellIs" dxfId="95" priority="25" stopIfTrue="1" operator="equal">
      <formula>"No"</formula>
    </cfRule>
  </conditionalFormatting>
  <conditionalFormatting sqref="F56">
    <cfRule type="cellIs" dxfId="94" priority="24" stopIfTrue="1" operator="equal">
      <formula>"No"</formula>
    </cfRule>
  </conditionalFormatting>
  <conditionalFormatting sqref="F57">
    <cfRule type="cellIs" dxfId="93" priority="23" stopIfTrue="1" operator="equal">
      <formula>"No"</formula>
    </cfRule>
  </conditionalFormatting>
  <conditionalFormatting sqref="F58">
    <cfRule type="cellIs" dxfId="92" priority="22" stopIfTrue="1" operator="equal">
      <formula>"No"</formula>
    </cfRule>
  </conditionalFormatting>
  <conditionalFormatting sqref="F59">
    <cfRule type="cellIs" dxfId="91" priority="21" stopIfTrue="1" operator="equal">
      <formula>"No"</formula>
    </cfRule>
  </conditionalFormatting>
  <conditionalFormatting sqref="F60">
    <cfRule type="cellIs" dxfId="90" priority="20" stopIfTrue="1" operator="equal">
      <formula>"No"</formula>
    </cfRule>
  </conditionalFormatting>
  <conditionalFormatting sqref="F61">
    <cfRule type="cellIs" dxfId="89" priority="19" stopIfTrue="1" operator="equal">
      <formula>"No"</formula>
    </cfRule>
  </conditionalFormatting>
  <conditionalFormatting sqref="F62">
    <cfRule type="cellIs" dxfId="88" priority="18" stopIfTrue="1" operator="equal">
      <formula>"No"</formula>
    </cfRule>
  </conditionalFormatting>
  <conditionalFormatting sqref="F63">
    <cfRule type="cellIs" dxfId="87" priority="17" stopIfTrue="1" operator="equal">
      <formula>"No"</formula>
    </cfRule>
  </conditionalFormatting>
  <conditionalFormatting sqref="F64">
    <cfRule type="cellIs" dxfId="86" priority="16" stopIfTrue="1" operator="equal">
      <formula>"No"</formula>
    </cfRule>
  </conditionalFormatting>
  <conditionalFormatting sqref="F65">
    <cfRule type="cellIs" dxfId="85" priority="15" stopIfTrue="1" operator="equal">
      <formula>"No"</formula>
    </cfRule>
  </conditionalFormatting>
  <conditionalFormatting sqref="F66">
    <cfRule type="cellIs" dxfId="84" priority="14" stopIfTrue="1" operator="equal">
      <formula>"No"</formula>
    </cfRule>
  </conditionalFormatting>
  <conditionalFormatting sqref="F68">
    <cfRule type="cellIs" dxfId="83" priority="13" stopIfTrue="1" operator="equal">
      <formula>"No"</formula>
    </cfRule>
  </conditionalFormatting>
  <conditionalFormatting sqref="F27">
    <cfRule type="cellIs" dxfId="82" priority="12" stopIfTrue="1" operator="equal">
      <formula>"No"</formula>
    </cfRule>
  </conditionalFormatting>
  <conditionalFormatting sqref="F28">
    <cfRule type="cellIs" dxfId="81" priority="11" stopIfTrue="1" operator="equal">
      <formula>"No"</formula>
    </cfRule>
  </conditionalFormatting>
  <conditionalFormatting sqref="F29">
    <cfRule type="cellIs" dxfId="80" priority="10" stopIfTrue="1" operator="equal">
      <formula>"No"</formula>
    </cfRule>
  </conditionalFormatting>
  <conditionalFormatting sqref="F30">
    <cfRule type="cellIs" dxfId="79" priority="9" stopIfTrue="1" operator="equal">
      <formula>"No"</formula>
    </cfRule>
  </conditionalFormatting>
  <conditionalFormatting sqref="F31">
    <cfRule type="cellIs" dxfId="78" priority="8" stopIfTrue="1" operator="equal">
      <formula>"No"</formula>
    </cfRule>
  </conditionalFormatting>
  <conditionalFormatting sqref="F37">
    <cfRule type="cellIs" dxfId="77" priority="6" stopIfTrue="1" operator="equal">
      <formula>"No"</formula>
    </cfRule>
  </conditionalFormatting>
  <conditionalFormatting sqref="F38">
    <cfRule type="cellIs" dxfId="76" priority="5" stopIfTrue="1" operator="equal">
      <formula>"No"</formula>
    </cfRule>
  </conditionalFormatting>
  <conditionalFormatting sqref="F39">
    <cfRule type="cellIs" dxfId="75" priority="4" stopIfTrue="1" operator="equal">
      <formula>"No"</formula>
    </cfRule>
  </conditionalFormatting>
  <conditionalFormatting sqref="F41">
    <cfRule type="cellIs" dxfId="74" priority="3" stopIfTrue="1" operator="equal">
      <formula>"No"</formula>
    </cfRule>
  </conditionalFormatting>
  <conditionalFormatting sqref="F72">
    <cfRule type="cellIs" dxfId="73" priority="1" stopIfTrue="1" operator="equal">
      <formula>"No"</formula>
    </cfRule>
  </conditionalFormatting>
  <dataValidations count="7">
    <dataValidation type="list" allowBlank="1" showInputMessage="1" showErrorMessage="1" sqref="WVN983086 JB46 SX46 ACT46 AMP46 AWL46 BGH46 BQD46 BZZ46 CJV46 CTR46 DDN46 DNJ46 DXF46 EHB46 EQX46 FAT46 FKP46 FUL46 GEH46 GOD46 GXZ46 HHV46 HRR46 IBN46 ILJ46 IVF46 JFB46 JOX46 JYT46 KIP46 KSL46 LCH46 LMD46 LVZ46 MFV46 MPR46 MZN46 NJJ46 NTF46 ODB46 OMX46 OWT46 PGP46 PQL46 QAH46 QKD46 QTZ46 RDV46 RNR46 RXN46 SHJ46 SRF46 TBB46 TKX46 TUT46 UEP46 UOL46 UYH46 VID46 VRZ46 WBV46 WLR46 WVN46 F65582 JB65582 SX65582 ACT65582 AMP65582 AWL65582 BGH65582 BQD65582 BZZ65582 CJV65582 CTR65582 DDN65582 DNJ65582 DXF65582 EHB65582 EQX65582 FAT65582 FKP65582 FUL65582 GEH65582 GOD65582 GXZ65582 HHV65582 HRR65582 IBN65582 ILJ65582 IVF65582 JFB65582 JOX65582 JYT65582 KIP65582 KSL65582 LCH65582 LMD65582 LVZ65582 MFV65582 MPR65582 MZN65582 NJJ65582 NTF65582 ODB65582 OMX65582 OWT65582 PGP65582 PQL65582 QAH65582 QKD65582 QTZ65582 RDV65582 RNR65582 RXN65582 SHJ65582 SRF65582 TBB65582 TKX65582 TUT65582 UEP65582 UOL65582 UYH65582 VID65582 VRZ65582 WBV65582 WLR65582 WVN65582 F131118 JB131118 SX131118 ACT131118 AMP131118 AWL131118 BGH131118 BQD131118 BZZ131118 CJV131118 CTR131118 DDN131118 DNJ131118 DXF131118 EHB131118 EQX131118 FAT131118 FKP131118 FUL131118 GEH131118 GOD131118 GXZ131118 HHV131118 HRR131118 IBN131118 ILJ131118 IVF131118 JFB131118 JOX131118 JYT131118 KIP131118 KSL131118 LCH131118 LMD131118 LVZ131118 MFV131118 MPR131118 MZN131118 NJJ131118 NTF131118 ODB131118 OMX131118 OWT131118 PGP131118 PQL131118 QAH131118 QKD131118 QTZ131118 RDV131118 RNR131118 RXN131118 SHJ131118 SRF131118 TBB131118 TKX131118 TUT131118 UEP131118 UOL131118 UYH131118 VID131118 VRZ131118 WBV131118 WLR131118 WVN131118 F196654 JB196654 SX196654 ACT196654 AMP196654 AWL196654 BGH196654 BQD196654 BZZ196654 CJV196654 CTR196654 DDN196654 DNJ196654 DXF196654 EHB196654 EQX196654 FAT196654 FKP196654 FUL196654 GEH196654 GOD196654 GXZ196654 HHV196654 HRR196654 IBN196654 ILJ196654 IVF196654 JFB196654 JOX196654 JYT196654 KIP196654 KSL196654 LCH196654 LMD196654 LVZ196654 MFV196654 MPR196654 MZN196654 NJJ196654 NTF196654 ODB196654 OMX196654 OWT196654 PGP196654 PQL196654 QAH196654 QKD196654 QTZ196654 RDV196654 RNR196654 RXN196654 SHJ196654 SRF196654 TBB196654 TKX196654 TUT196654 UEP196654 UOL196654 UYH196654 VID196654 VRZ196654 WBV196654 WLR196654 WVN196654 F262190 JB262190 SX262190 ACT262190 AMP262190 AWL262190 BGH262190 BQD262190 BZZ262190 CJV262190 CTR262190 DDN262190 DNJ262190 DXF262190 EHB262190 EQX262190 FAT262190 FKP262190 FUL262190 GEH262190 GOD262190 GXZ262190 HHV262190 HRR262190 IBN262190 ILJ262190 IVF262190 JFB262190 JOX262190 JYT262190 KIP262190 KSL262190 LCH262190 LMD262190 LVZ262190 MFV262190 MPR262190 MZN262190 NJJ262190 NTF262190 ODB262190 OMX262190 OWT262190 PGP262190 PQL262190 QAH262190 QKD262190 QTZ262190 RDV262190 RNR262190 RXN262190 SHJ262190 SRF262190 TBB262190 TKX262190 TUT262190 UEP262190 UOL262190 UYH262190 VID262190 VRZ262190 WBV262190 WLR262190 WVN262190 F327726 JB327726 SX327726 ACT327726 AMP327726 AWL327726 BGH327726 BQD327726 BZZ327726 CJV327726 CTR327726 DDN327726 DNJ327726 DXF327726 EHB327726 EQX327726 FAT327726 FKP327726 FUL327726 GEH327726 GOD327726 GXZ327726 HHV327726 HRR327726 IBN327726 ILJ327726 IVF327726 JFB327726 JOX327726 JYT327726 KIP327726 KSL327726 LCH327726 LMD327726 LVZ327726 MFV327726 MPR327726 MZN327726 NJJ327726 NTF327726 ODB327726 OMX327726 OWT327726 PGP327726 PQL327726 QAH327726 QKD327726 QTZ327726 RDV327726 RNR327726 RXN327726 SHJ327726 SRF327726 TBB327726 TKX327726 TUT327726 UEP327726 UOL327726 UYH327726 VID327726 VRZ327726 WBV327726 WLR327726 WVN327726 F393262 JB393262 SX393262 ACT393262 AMP393262 AWL393262 BGH393262 BQD393262 BZZ393262 CJV393262 CTR393262 DDN393262 DNJ393262 DXF393262 EHB393262 EQX393262 FAT393262 FKP393262 FUL393262 GEH393262 GOD393262 GXZ393262 HHV393262 HRR393262 IBN393262 ILJ393262 IVF393262 JFB393262 JOX393262 JYT393262 KIP393262 KSL393262 LCH393262 LMD393262 LVZ393262 MFV393262 MPR393262 MZN393262 NJJ393262 NTF393262 ODB393262 OMX393262 OWT393262 PGP393262 PQL393262 QAH393262 QKD393262 QTZ393262 RDV393262 RNR393262 RXN393262 SHJ393262 SRF393262 TBB393262 TKX393262 TUT393262 UEP393262 UOL393262 UYH393262 VID393262 VRZ393262 WBV393262 WLR393262 WVN393262 F458798 JB458798 SX458798 ACT458798 AMP458798 AWL458798 BGH458798 BQD458798 BZZ458798 CJV458798 CTR458798 DDN458798 DNJ458798 DXF458798 EHB458798 EQX458798 FAT458798 FKP458798 FUL458798 GEH458798 GOD458798 GXZ458798 HHV458798 HRR458798 IBN458798 ILJ458798 IVF458798 JFB458798 JOX458798 JYT458798 KIP458798 KSL458798 LCH458798 LMD458798 LVZ458798 MFV458798 MPR458798 MZN458798 NJJ458798 NTF458798 ODB458798 OMX458798 OWT458798 PGP458798 PQL458798 QAH458798 QKD458798 QTZ458798 RDV458798 RNR458798 RXN458798 SHJ458798 SRF458798 TBB458798 TKX458798 TUT458798 UEP458798 UOL458798 UYH458798 VID458798 VRZ458798 WBV458798 WLR458798 WVN458798 F524334 JB524334 SX524334 ACT524334 AMP524334 AWL524334 BGH524334 BQD524334 BZZ524334 CJV524334 CTR524334 DDN524334 DNJ524334 DXF524334 EHB524334 EQX524334 FAT524334 FKP524334 FUL524334 GEH524334 GOD524334 GXZ524334 HHV524334 HRR524334 IBN524334 ILJ524334 IVF524334 JFB524334 JOX524334 JYT524334 KIP524334 KSL524334 LCH524334 LMD524334 LVZ524334 MFV524334 MPR524334 MZN524334 NJJ524334 NTF524334 ODB524334 OMX524334 OWT524334 PGP524334 PQL524334 QAH524334 QKD524334 QTZ524334 RDV524334 RNR524334 RXN524334 SHJ524334 SRF524334 TBB524334 TKX524334 TUT524334 UEP524334 UOL524334 UYH524334 VID524334 VRZ524334 WBV524334 WLR524334 WVN524334 F589870 JB589870 SX589870 ACT589870 AMP589870 AWL589870 BGH589870 BQD589870 BZZ589870 CJV589870 CTR589870 DDN589870 DNJ589870 DXF589870 EHB589870 EQX589870 FAT589870 FKP589870 FUL589870 GEH589870 GOD589870 GXZ589870 HHV589870 HRR589870 IBN589870 ILJ589870 IVF589870 JFB589870 JOX589870 JYT589870 KIP589870 KSL589870 LCH589870 LMD589870 LVZ589870 MFV589870 MPR589870 MZN589870 NJJ589870 NTF589870 ODB589870 OMX589870 OWT589870 PGP589870 PQL589870 QAH589870 QKD589870 QTZ589870 RDV589870 RNR589870 RXN589870 SHJ589870 SRF589870 TBB589870 TKX589870 TUT589870 UEP589870 UOL589870 UYH589870 VID589870 VRZ589870 WBV589870 WLR589870 WVN589870 F655406 JB655406 SX655406 ACT655406 AMP655406 AWL655406 BGH655406 BQD655406 BZZ655406 CJV655406 CTR655406 DDN655406 DNJ655406 DXF655406 EHB655406 EQX655406 FAT655406 FKP655406 FUL655406 GEH655406 GOD655406 GXZ655406 HHV655406 HRR655406 IBN655406 ILJ655406 IVF655406 JFB655406 JOX655406 JYT655406 KIP655406 KSL655406 LCH655406 LMD655406 LVZ655406 MFV655406 MPR655406 MZN655406 NJJ655406 NTF655406 ODB655406 OMX655406 OWT655406 PGP655406 PQL655406 QAH655406 QKD655406 QTZ655406 RDV655406 RNR655406 RXN655406 SHJ655406 SRF655406 TBB655406 TKX655406 TUT655406 UEP655406 UOL655406 UYH655406 VID655406 VRZ655406 WBV655406 WLR655406 WVN655406 F720942 JB720942 SX720942 ACT720942 AMP720942 AWL720942 BGH720942 BQD720942 BZZ720942 CJV720942 CTR720942 DDN720942 DNJ720942 DXF720942 EHB720942 EQX720942 FAT720942 FKP720942 FUL720942 GEH720942 GOD720942 GXZ720942 HHV720942 HRR720942 IBN720942 ILJ720942 IVF720942 JFB720942 JOX720942 JYT720942 KIP720942 KSL720942 LCH720942 LMD720942 LVZ720942 MFV720942 MPR720942 MZN720942 NJJ720942 NTF720942 ODB720942 OMX720942 OWT720942 PGP720942 PQL720942 QAH720942 QKD720942 QTZ720942 RDV720942 RNR720942 RXN720942 SHJ720942 SRF720942 TBB720942 TKX720942 TUT720942 UEP720942 UOL720942 UYH720942 VID720942 VRZ720942 WBV720942 WLR720942 WVN720942 F786478 JB786478 SX786478 ACT786478 AMP786478 AWL786478 BGH786478 BQD786478 BZZ786478 CJV786478 CTR786478 DDN786478 DNJ786478 DXF786478 EHB786478 EQX786478 FAT786478 FKP786478 FUL786478 GEH786478 GOD786478 GXZ786478 HHV786478 HRR786478 IBN786478 ILJ786478 IVF786478 JFB786478 JOX786478 JYT786478 KIP786478 KSL786478 LCH786478 LMD786478 LVZ786478 MFV786478 MPR786478 MZN786478 NJJ786478 NTF786478 ODB786478 OMX786478 OWT786478 PGP786478 PQL786478 QAH786478 QKD786478 QTZ786478 RDV786478 RNR786478 RXN786478 SHJ786478 SRF786478 TBB786478 TKX786478 TUT786478 UEP786478 UOL786478 UYH786478 VID786478 VRZ786478 WBV786478 WLR786478 WVN786478 F852014 JB852014 SX852014 ACT852014 AMP852014 AWL852014 BGH852014 BQD852014 BZZ852014 CJV852014 CTR852014 DDN852014 DNJ852014 DXF852014 EHB852014 EQX852014 FAT852014 FKP852014 FUL852014 GEH852014 GOD852014 GXZ852014 HHV852014 HRR852014 IBN852014 ILJ852014 IVF852014 JFB852014 JOX852014 JYT852014 KIP852014 KSL852014 LCH852014 LMD852014 LVZ852014 MFV852014 MPR852014 MZN852014 NJJ852014 NTF852014 ODB852014 OMX852014 OWT852014 PGP852014 PQL852014 QAH852014 QKD852014 QTZ852014 RDV852014 RNR852014 RXN852014 SHJ852014 SRF852014 TBB852014 TKX852014 TUT852014 UEP852014 UOL852014 UYH852014 VID852014 VRZ852014 WBV852014 WLR852014 WVN852014 F917550 JB917550 SX917550 ACT917550 AMP917550 AWL917550 BGH917550 BQD917550 BZZ917550 CJV917550 CTR917550 DDN917550 DNJ917550 DXF917550 EHB917550 EQX917550 FAT917550 FKP917550 FUL917550 GEH917550 GOD917550 GXZ917550 HHV917550 HRR917550 IBN917550 ILJ917550 IVF917550 JFB917550 JOX917550 JYT917550 KIP917550 KSL917550 LCH917550 LMD917550 LVZ917550 MFV917550 MPR917550 MZN917550 NJJ917550 NTF917550 ODB917550 OMX917550 OWT917550 PGP917550 PQL917550 QAH917550 QKD917550 QTZ917550 RDV917550 RNR917550 RXN917550 SHJ917550 SRF917550 TBB917550 TKX917550 TUT917550 UEP917550 UOL917550 UYH917550 VID917550 VRZ917550 WBV917550 WLR917550 WVN917550 F983086 JB983086 SX983086 ACT983086 AMP983086 AWL983086 BGH983086 BQD983086 BZZ983086 CJV983086 CTR983086 DDN983086 DNJ983086 DXF983086 EHB983086 EQX983086 FAT983086 FKP983086 FUL983086 GEH983086 GOD983086 GXZ983086 HHV983086 HRR983086 IBN983086 ILJ983086 IVF983086 JFB983086 JOX983086 JYT983086 KIP983086 KSL983086 LCH983086 LMD983086 LVZ983086 MFV983086 MPR983086 MZN983086 NJJ983086 NTF983086 ODB983086 OMX983086 OWT983086 PGP983086 PQL983086 QAH983086 QKD983086 QTZ983086 RDV983086 RNR983086 RXN983086 SHJ983086 SRF983086 TBB983086 TKX983086 TUT983086 UEP983086 UOL983086 UYH983086 VID983086 VRZ983086 WBV983086 WLR983086">
      <formula1>"National DCR, Other, None, n/a"</formula1>
    </dataValidation>
    <dataValidation type="list" allowBlank="1" showInputMessage="1" showErrorMessage="1" sqref="WVN983084 JB44 SX44 ACT44 AMP44 AWL44 BGH44 BQD44 BZZ44 CJV44 CTR44 DDN44 DNJ44 DXF44 EHB44 EQX44 FAT44 FKP44 FUL44 GEH44 GOD44 GXZ44 HHV44 HRR44 IBN44 ILJ44 IVF44 JFB44 JOX44 JYT44 KIP44 KSL44 LCH44 LMD44 LVZ44 MFV44 MPR44 MZN44 NJJ44 NTF44 ODB44 OMX44 OWT44 PGP44 PQL44 QAH44 QKD44 QTZ44 RDV44 RNR44 RXN44 SHJ44 SRF44 TBB44 TKX44 TUT44 UEP44 UOL44 UYH44 VID44 VRZ44 WBV44 WLR44 WVN44 F65580 JB65580 SX65580 ACT65580 AMP65580 AWL65580 BGH65580 BQD65580 BZZ65580 CJV65580 CTR65580 DDN65580 DNJ65580 DXF65580 EHB65580 EQX65580 FAT65580 FKP65580 FUL65580 GEH65580 GOD65580 GXZ65580 HHV65580 HRR65580 IBN65580 ILJ65580 IVF65580 JFB65580 JOX65580 JYT65580 KIP65580 KSL65580 LCH65580 LMD65580 LVZ65580 MFV65580 MPR65580 MZN65580 NJJ65580 NTF65580 ODB65580 OMX65580 OWT65580 PGP65580 PQL65580 QAH65580 QKD65580 QTZ65580 RDV65580 RNR65580 RXN65580 SHJ65580 SRF65580 TBB65580 TKX65580 TUT65580 UEP65580 UOL65580 UYH65580 VID65580 VRZ65580 WBV65580 WLR65580 WVN65580 F131116 JB131116 SX131116 ACT131116 AMP131116 AWL131116 BGH131116 BQD131116 BZZ131116 CJV131116 CTR131116 DDN131116 DNJ131116 DXF131116 EHB131116 EQX131116 FAT131116 FKP131116 FUL131116 GEH131116 GOD131116 GXZ131116 HHV131116 HRR131116 IBN131116 ILJ131116 IVF131116 JFB131116 JOX131116 JYT131116 KIP131116 KSL131116 LCH131116 LMD131116 LVZ131116 MFV131116 MPR131116 MZN131116 NJJ131116 NTF131116 ODB131116 OMX131116 OWT131116 PGP131116 PQL131116 QAH131116 QKD131116 QTZ131116 RDV131116 RNR131116 RXN131116 SHJ131116 SRF131116 TBB131116 TKX131116 TUT131116 UEP131116 UOL131116 UYH131116 VID131116 VRZ131116 WBV131116 WLR131116 WVN131116 F196652 JB196652 SX196652 ACT196652 AMP196652 AWL196652 BGH196652 BQD196652 BZZ196652 CJV196652 CTR196652 DDN196652 DNJ196652 DXF196652 EHB196652 EQX196652 FAT196652 FKP196652 FUL196652 GEH196652 GOD196652 GXZ196652 HHV196652 HRR196652 IBN196652 ILJ196652 IVF196652 JFB196652 JOX196652 JYT196652 KIP196652 KSL196652 LCH196652 LMD196652 LVZ196652 MFV196652 MPR196652 MZN196652 NJJ196652 NTF196652 ODB196652 OMX196652 OWT196652 PGP196652 PQL196652 QAH196652 QKD196652 QTZ196652 RDV196652 RNR196652 RXN196652 SHJ196652 SRF196652 TBB196652 TKX196652 TUT196652 UEP196652 UOL196652 UYH196652 VID196652 VRZ196652 WBV196652 WLR196652 WVN196652 F262188 JB262188 SX262188 ACT262188 AMP262188 AWL262188 BGH262188 BQD262188 BZZ262188 CJV262188 CTR262188 DDN262188 DNJ262188 DXF262188 EHB262188 EQX262188 FAT262188 FKP262188 FUL262188 GEH262188 GOD262188 GXZ262188 HHV262188 HRR262188 IBN262188 ILJ262188 IVF262188 JFB262188 JOX262188 JYT262188 KIP262188 KSL262188 LCH262188 LMD262188 LVZ262188 MFV262188 MPR262188 MZN262188 NJJ262188 NTF262188 ODB262188 OMX262188 OWT262188 PGP262188 PQL262188 QAH262188 QKD262188 QTZ262188 RDV262188 RNR262188 RXN262188 SHJ262188 SRF262188 TBB262188 TKX262188 TUT262188 UEP262188 UOL262188 UYH262188 VID262188 VRZ262188 WBV262188 WLR262188 WVN262188 F327724 JB327724 SX327724 ACT327724 AMP327724 AWL327724 BGH327724 BQD327724 BZZ327724 CJV327724 CTR327724 DDN327724 DNJ327724 DXF327724 EHB327724 EQX327724 FAT327724 FKP327724 FUL327724 GEH327724 GOD327724 GXZ327724 HHV327724 HRR327724 IBN327724 ILJ327724 IVF327724 JFB327724 JOX327724 JYT327724 KIP327724 KSL327724 LCH327724 LMD327724 LVZ327724 MFV327724 MPR327724 MZN327724 NJJ327724 NTF327724 ODB327724 OMX327724 OWT327724 PGP327724 PQL327724 QAH327724 QKD327724 QTZ327724 RDV327724 RNR327724 RXN327724 SHJ327724 SRF327724 TBB327724 TKX327724 TUT327724 UEP327724 UOL327724 UYH327724 VID327724 VRZ327724 WBV327724 WLR327724 WVN327724 F393260 JB393260 SX393260 ACT393260 AMP393260 AWL393260 BGH393260 BQD393260 BZZ393260 CJV393260 CTR393260 DDN393260 DNJ393260 DXF393260 EHB393260 EQX393260 FAT393260 FKP393260 FUL393260 GEH393260 GOD393260 GXZ393260 HHV393260 HRR393260 IBN393260 ILJ393260 IVF393260 JFB393260 JOX393260 JYT393260 KIP393260 KSL393260 LCH393260 LMD393260 LVZ393260 MFV393260 MPR393260 MZN393260 NJJ393260 NTF393260 ODB393260 OMX393260 OWT393260 PGP393260 PQL393260 QAH393260 QKD393260 QTZ393260 RDV393260 RNR393260 RXN393260 SHJ393260 SRF393260 TBB393260 TKX393260 TUT393260 UEP393260 UOL393260 UYH393260 VID393260 VRZ393260 WBV393260 WLR393260 WVN393260 F458796 JB458796 SX458796 ACT458796 AMP458796 AWL458796 BGH458796 BQD458796 BZZ458796 CJV458796 CTR458796 DDN458796 DNJ458796 DXF458796 EHB458796 EQX458796 FAT458796 FKP458796 FUL458796 GEH458796 GOD458796 GXZ458796 HHV458796 HRR458796 IBN458796 ILJ458796 IVF458796 JFB458796 JOX458796 JYT458796 KIP458796 KSL458796 LCH458796 LMD458796 LVZ458796 MFV458796 MPR458796 MZN458796 NJJ458796 NTF458796 ODB458796 OMX458796 OWT458796 PGP458796 PQL458796 QAH458796 QKD458796 QTZ458796 RDV458796 RNR458796 RXN458796 SHJ458796 SRF458796 TBB458796 TKX458796 TUT458796 UEP458796 UOL458796 UYH458796 VID458796 VRZ458796 WBV458796 WLR458796 WVN458796 F524332 JB524332 SX524332 ACT524332 AMP524332 AWL524332 BGH524332 BQD524332 BZZ524332 CJV524332 CTR524332 DDN524332 DNJ524332 DXF524332 EHB524332 EQX524332 FAT524332 FKP524332 FUL524332 GEH524332 GOD524332 GXZ524332 HHV524332 HRR524332 IBN524332 ILJ524332 IVF524332 JFB524332 JOX524332 JYT524332 KIP524332 KSL524332 LCH524332 LMD524332 LVZ524332 MFV524332 MPR524332 MZN524332 NJJ524332 NTF524332 ODB524332 OMX524332 OWT524332 PGP524332 PQL524332 QAH524332 QKD524332 QTZ524332 RDV524332 RNR524332 RXN524332 SHJ524332 SRF524332 TBB524332 TKX524332 TUT524332 UEP524332 UOL524332 UYH524332 VID524332 VRZ524332 WBV524332 WLR524332 WVN524332 F589868 JB589868 SX589868 ACT589868 AMP589868 AWL589868 BGH589868 BQD589868 BZZ589868 CJV589868 CTR589868 DDN589868 DNJ589868 DXF589868 EHB589868 EQX589868 FAT589868 FKP589868 FUL589868 GEH589868 GOD589868 GXZ589868 HHV589868 HRR589868 IBN589868 ILJ589868 IVF589868 JFB589868 JOX589868 JYT589868 KIP589868 KSL589868 LCH589868 LMD589868 LVZ589868 MFV589868 MPR589868 MZN589868 NJJ589868 NTF589868 ODB589868 OMX589868 OWT589868 PGP589868 PQL589868 QAH589868 QKD589868 QTZ589868 RDV589868 RNR589868 RXN589868 SHJ589868 SRF589868 TBB589868 TKX589868 TUT589868 UEP589868 UOL589868 UYH589868 VID589868 VRZ589868 WBV589868 WLR589868 WVN589868 F655404 JB655404 SX655404 ACT655404 AMP655404 AWL655404 BGH655404 BQD655404 BZZ655404 CJV655404 CTR655404 DDN655404 DNJ655404 DXF655404 EHB655404 EQX655404 FAT655404 FKP655404 FUL655404 GEH655404 GOD655404 GXZ655404 HHV655404 HRR655404 IBN655404 ILJ655404 IVF655404 JFB655404 JOX655404 JYT655404 KIP655404 KSL655404 LCH655404 LMD655404 LVZ655404 MFV655404 MPR655404 MZN655404 NJJ655404 NTF655404 ODB655404 OMX655404 OWT655404 PGP655404 PQL655404 QAH655404 QKD655404 QTZ655404 RDV655404 RNR655404 RXN655404 SHJ655404 SRF655404 TBB655404 TKX655404 TUT655404 UEP655404 UOL655404 UYH655404 VID655404 VRZ655404 WBV655404 WLR655404 WVN655404 F720940 JB720940 SX720940 ACT720940 AMP720940 AWL720940 BGH720940 BQD720940 BZZ720940 CJV720940 CTR720940 DDN720940 DNJ720940 DXF720940 EHB720940 EQX720940 FAT720940 FKP720940 FUL720940 GEH720940 GOD720940 GXZ720940 HHV720940 HRR720940 IBN720940 ILJ720940 IVF720940 JFB720940 JOX720940 JYT720940 KIP720940 KSL720940 LCH720940 LMD720940 LVZ720940 MFV720940 MPR720940 MZN720940 NJJ720940 NTF720940 ODB720940 OMX720940 OWT720940 PGP720940 PQL720940 QAH720940 QKD720940 QTZ720940 RDV720940 RNR720940 RXN720940 SHJ720940 SRF720940 TBB720940 TKX720940 TUT720940 UEP720940 UOL720940 UYH720940 VID720940 VRZ720940 WBV720940 WLR720940 WVN720940 F786476 JB786476 SX786476 ACT786476 AMP786476 AWL786476 BGH786476 BQD786476 BZZ786476 CJV786476 CTR786476 DDN786476 DNJ786476 DXF786476 EHB786476 EQX786476 FAT786476 FKP786476 FUL786476 GEH786476 GOD786476 GXZ786476 HHV786476 HRR786476 IBN786476 ILJ786476 IVF786476 JFB786476 JOX786476 JYT786476 KIP786476 KSL786476 LCH786476 LMD786476 LVZ786476 MFV786476 MPR786476 MZN786476 NJJ786476 NTF786476 ODB786476 OMX786476 OWT786476 PGP786476 PQL786476 QAH786476 QKD786476 QTZ786476 RDV786476 RNR786476 RXN786476 SHJ786476 SRF786476 TBB786476 TKX786476 TUT786476 UEP786476 UOL786476 UYH786476 VID786476 VRZ786476 WBV786476 WLR786476 WVN786476 F852012 JB852012 SX852012 ACT852012 AMP852012 AWL852012 BGH852012 BQD852012 BZZ852012 CJV852012 CTR852012 DDN852012 DNJ852012 DXF852012 EHB852012 EQX852012 FAT852012 FKP852012 FUL852012 GEH852012 GOD852012 GXZ852012 HHV852012 HRR852012 IBN852012 ILJ852012 IVF852012 JFB852012 JOX852012 JYT852012 KIP852012 KSL852012 LCH852012 LMD852012 LVZ852012 MFV852012 MPR852012 MZN852012 NJJ852012 NTF852012 ODB852012 OMX852012 OWT852012 PGP852012 PQL852012 QAH852012 QKD852012 QTZ852012 RDV852012 RNR852012 RXN852012 SHJ852012 SRF852012 TBB852012 TKX852012 TUT852012 UEP852012 UOL852012 UYH852012 VID852012 VRZ852012 WBV852012 WLR852012 WVN852012 F917548 JB917548 SX917548 ACT917548 AMP917548 AWL917548 BGH917548 BQD917548 BZZ917548 CJV917548 CTR917548 DDN917548 DNJ917548 DXF917548 EHB917548 EQX917548 FAT917548 FKP917548 FUL917548 GEH917548 GOD917548 GXZ917548 HHV917548 HRR917548 IBN917548 ILJ917548 IVF917548 JFB917548 JOX917548 JYT917548 KIP917548 KSL917548 LCH917548 LMD917548 LVZ917548 MFV917548 MPR917548 MZN917548 NJJ917548 NTF917548 ODB917548 OMX917548 OWT917548 PGP917548 PQL917548 QAH917548 QKD917548 QTZ917548 RDV917548 RNR917548 RXN917548 SHJ917548 SRF917548 TBB917548 TKX917548 TUT917548 UEP917548 UOL917548 UYH917548 VID917548 VRZ917548 WBV917548 WLR917548 WVN917548 F983084 JB983084 SX983084 ACT983084 AMP983084 AWL983084 BGH983084 BQD983084 BZZ983084 CJV983084 CTR983084 DDN983084 DNJ983084 DXF983084 EHB983084 EQX983084 FAT983084 FKP983084 FUL983084 GEH983084 GOD983084 GXZ983084 HHV983084 HRR983084 IBN983084 ILJ983084 IVF983084 JFB983084 JOX983084 JYT983084 KIP983084 KSL983084 LCH983084 LMD983084 LVZ983084 MFV983084 MPR983084 MZN983084 NJJ983084 NTF983084 ODB983084 OMX983084 OWT983084 PGP983084 PQL983084 QAH983084 QKD983084 QTZ983084 RDV983084 RNR983084 RXN983084 SHJ983084 SRF983084 TBB983084 TKX983084 TUT983084 UEP983084 UOL983084 UYH983084 VID983084 VRZ983084 WBV983084 WLR983084">
      <formula1>"National LR, Other, None, n/a"</formula1>
    </dataValidation>
    <dataValidation type="list" allowBlank="1" showInputMessage="1" showErrorMessage="1" sqref="WVN983077 JB37 SX37 ACT37 AMP37 AWL37 BGH37 BQD37 BZZ37 CJV37 CTR37 DDN37 DNJ37 DXF37 EHB37 EQX37 FAT37 FKP37 FUL37 GEH37 GOD37 GXZ37 HHV37 HRR37 IBN37 ILJ37 IVF37 JFB37 JOX37 JYT37 KIP37 KSL37 LCH37 LMD37 LVZ37 MFV37 MPR37 MZN37 NJJ37 NTF37 ODB37 OMX37 OWT37 PGP37 PQL37 QAH37 QKD37 QTZ37 RDV37 RNR37 RXN37 SHJ37 SRF37 TBB37 TKX37 TUT37 UEP37 UOL37 UYH37 VID37 VRZ37 WBV37 WLR37 WVN37 F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F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F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F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F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F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F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F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F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F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F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F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F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F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F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formula1>"Spine Smartcard, Alternative Strong Authentication, Other, None"</formula1>
    </dataValidation>
    <dataValidation type="list" allowBlank="1" showInputMessage="1" showErrorMessage="1" sqref="WVN983079:WVN983080 JB39:JB40 SX39:SX40 ACT39:ACT40 AMP39:AMP40 AWL39:AWL40 BGH39:BGH40 BQD39:BQD40 BZZ39:BZZ40 CJV39:CJV40 CTR39:CTR40 DDN39:DDN40 DNJ39:DNJ40 DXF39:DXF40 EHB39:EHB40 EQX39:EQX40 FAT39:FAT40 FKP39:FKP40 FUL39:FUL40 GEH39:GEH40 GOD39:GOD40 GXZ39:GXZ40 HHV39:HHV40 HRR39:HRR40 IBN39:IBN40 ILJ39:ILJ40 IVF39:IVF40 JFB39:JFB40 JOX39:JOX40 JYT39:JYT40 KIP39:KIP40 KSL39:KSL40 LCH39:LCH40 LMD39:LMD40 LVZ39:LVZ40 MFV39:MFV40 MPR39:MPR40 MZN39:MZN40 NJJ39:NJJ40 NTF39:NTF40 ODB39:ODB40 OMX39:OMX40 OWT39:OWT40 PGP39:PGP40 PQL39:PQL40 QAH39:QAH40 QKD39:QKD40 QTZ39:QTZ40 RDV39:RDV40 RNR39:RNR40 RXN39:RXN40 SHJ39:SHJ40 SRF39:SRF40 TBB39:TBB40 TKX39:TKX40 TUT39:TUT40 UEP39:UEP40 UOL39:UOL40 UYH39:UYH40 VID39:VID40 VRZ39:VRZ40 WBV39:WBV40 WLR39:WLR40 WVN39:WVN40 F65575:F65576 JB65575:JB65576 SX65575:SX65576 ACT65575:ACT65576 AMP65575:AMP65576 AWL65575:AWL65576 BGH65575:BGH65576 BQD65575:BQD65576 BZZ65575:BZZ65576 CJV65575:CJV65576 CTR65575:CTR65576 DDN65575:DDN65576 DNJ65575:DNJ65576 DXF65575:DXF65576 EHB65575:EHB65576 EQX65575:EQX65576 FAT65575:FAT65576 FKP65575:FKP65576 FUL65575:FUL65576 GEH65575:GEH65576 GOD65575:GOD65576 GXZ65575:GXZ65576 HHV65575:HHV65576 HRR65575:HRR65576 IBN65575:IBN65576 ILJ65575:ILJ65576 IVF65575:IVF65576 JFB65575:JFB65576 JOX65575:JOX65576 JYT65575:JYT65576 KIP65575:KIP65576 KSL65575:KSL65576 LCH65575:LCH65576 LMD65575:LMD65576 LVZ65575:LVZ65576 MFV65575:MFV65576 MPR65575:MPR65576 MZN65575:MZN65576 NJJ65575:NJJ65576 NTF65575:NTF65576 ODB65575:ODB65576 OMX65575:OMX65576 OWT65575:OWT65576 PGP65575:PGP65576 PQL65575:PQL65576 QAH65575:QAH65576 QKD65575:QKD65576 QTZ65575:QTZ65576 RDV65575:RDV65576 RNR65575:RNR65576 RXN65575:RXN65576 SHJ65575:SHJ65576 SRF65575:SRF65576 TBB65575:TBB65576 TKX65575:TKX65576 TUT65575:TUT65576 UEP65575:UEP65576 UOL65575:UOL65576 UYH65575:UYH65576 VID65575:VID65576 VRZ65575:VRZ65576 WBV65575:WBV65576 WLR65575:WLR65576 WVN65575:WVN65576 F131111:F131112 JB131111:JB131112 SX131111:SX131112 ACT131111:ACT131112 AMP131111:AMP131112 AWL131111:AWL131112 BGH131111:BGH131112 BQD131111:BQD131112 BZZ131111:BZZ131112 CJV131111:CJV131112 CTR131111:CTR131112 DDN131111:DDN131112 DNJ131111:DNJ131112 DXF131111:DXF131112 EHB131111:EHB131112 EQX131111:EQX131112 FAT131111:FAT131112 FKP131111:FKP131112 FUL131111:FUL131112 GEH131111:GEH131112 GOD131111:GOD131112 GXZ131111:GXZ131112 HHV131111:HHV131112 HRR131111:HRR131112 IBN131111:IBN131112 ILJ131111:ILJ131112 IVF131111:IVF131112 JFB131111:JFB131112 JOX131111:JOX131112 JYT131111:JYT131112 KIP131111:KIP131112 KSL131111:KSL131112 LCH131111:LCH131112 LMD131111:LMD131112 LVZ131111:LVZ131112 MFV131111:MFV131112 MPR131111:MPR131112 MZN131111:MZN131112 NJJ131111:NJJ131112 NTF131111:NTF131112 ODB131111:ODB131112 OMX131111:OMX131112 OWT131111:OWT131112 PGP131111:PGP131112 PQL131111:PQL131112 QAH131111:QAH131112 QKD131111:QKD131112 QTZ131111:QTZ131112 RDV131111:RDV131112 RNR131111:RNR131112 RXN131111:RXN131112 SHJ131111:SHJ131112 SRF131111:SRF131112 TBB131111:TBB131112 TKX131111:TKX131112 TUT131111:TUT131112 UEP131111:UEP131112 UOL131111:UOL131112 UYH131111:UYH131112 VID131111:VID131112 VRZ131111:VRZ131112 WBV131111:WBV131112 WLR131111:WLR131112 WVN131111:WVN131112 F196647:F196648 JB196647:JB196648 SX196647:SX196648 ACT196647:ACT196648 AMP196647:AMP196648 AWL196647:AWL196648 BGH196647:BGH196648 BQD196647:BQD196648 BZZ196647:BZZ196648 CJV196647:CJV196648 CTR196647:CTR196648 DDN196647:DDN196648 DNJ196647:DNJ196648 DXF196647:DXF196648 EHB196647:EHB196648 EQX196647:EQX196648 FAT196647:FAT196648 FKP196647:FKP196648 FUL196647:FUL196648 GEH196647:GEH196648 GOD196647:GOD196648 GXZ196647:GXZ196648 HHV196647:HHV196648 HRR196647:HRR196648 IBN196647:IBN196648 ILJ196647:ILJ196648 IVF196647:IVF196648 JFB196647:JFB196648 JOX196647:JOX196648 JYT196647:JYT196648 KIP196647:KIP196648 KSL196647:KSL196648 LCH196647:LCH196648 LMD196647:LMD196648 LVZ196647:LVZ196648 MFV196647:MFV196648 MPR196647:MPR196648 MZN196647:MZN196648 NJJ196647:NJJ196648 NTF196647:NTF196648 ODB196647:ODB196648 OMX196647:OMX196648 OWT196647:OWT196648 PGP196647:PGP196648 PQL196647:PQL196648 QAH196647:QAH196648 QKD196647:QKD196648 QTZ196647:QTZ196648 RDV196647:RDV196648 RNR196647:RNR196648 RXN196647:RXN196648 SHJ196647:SHJ196648 SRF196647:SRF196648 TBB196647:TBB196648 TKX196647:TKX196648 TUT196647:TUT196648 UEP196647:UEP196648 UOL196647:UOL196648 UYH196647:UYH196648 VID196647:VID196648 VRZ196647:VRZ196648 WBV196647:WBV196648 WLR196647:WLR196648 WVN196647:WVN196648 F262183:F262184 JB262183:JB262184 SX262183:SX262184 ACT262183:ACT262184 AMP262183:AMP262184 AWL262183:AWL262184 BGH262183:BGH262184 BQD262183:BQD262184 BZZ262183:BZZ262184 CJV262183:CJV262184 CTR262183:CTR262184 DDN262183:DDN262184 DNJ262183:DNJ262184 DXF262183:DXF262184 EHB262183:EHB262184 EQX262183:EQX262184 FAT262183:FAT262184 FKP262183:FKP262184 FUL262183:FUL262184 GEH262183:GEH262184 GOD262183:GOD262184 GXZ262183:GXZ262184 HHV262183:HHV262184 HRR262183:HRR262184 IBN262183:IBN262184 ILJ262183:ILJ262184 IVF262183:IVF262184 JFB262183:JFB262184 JOX262183:JOX262184 JYT262183:JYT262184 KIP262183:KIP262184 KSL262183:KSL262184 LCH262183:LCH262184 LMD262183:LMD262184 LVZ262183:LVZ262184 MFV262183:MFV262184 MPR262183:MPR262184 MZN262183:MZN262184 NJJ262183:NJJ262184 NTF262183:NTF262184 ODB262183:ODB262184 OMX262183:OMX262184 OWT262183:OWT262184 PGP262183:PGP262184 PQL262183:PQL262184 QAH262183:QAH262184 QKD262183:QKD262184 QTZ262183:QTZ262184 RDV262183:RDV262184 RNR262183:RNR262184 RXN262183:RXN262184 SHJ262183:SHJ262184 SRF262183:SRF262184 TBB262183:TBB262184 TKX262183:TKX262184 TUT262183:TUT262184 UEP262183:UEP262184 UOL262183:UOL262184 UYH262183:UYH262184 VID262183:VID262184 VRZ262183:VRZ262184 WBV262183:WBV262184 WLR262183:WLR262184 WVN262183:WVN262184 F327719:F327720 JB327719:JB327720 SX327719:SX327720 ACT327719:ACT327720 AMP327719:AMP327720 AWL327719:AWL327720 BGH327719:BGH327720 BQD327719:BQD327720 BZZ327719:BZZ327720 CJV327719:CJV327720 CTR327719:CTR327720 DDN327719:DDN327720 DNJ327719:DNJ327720 DXF327719:DXF327720 EHB327719:EHB327720 EQX327719:EQX327720 FAT327719:FAT327720 FKP327719:FKP327720 FUL327719:FUL327720 GEH327719:GEH327720 GOD327719:GOD327720 GXZ327719:GXZ327720 HHV327719:HHV327720 HRR327719:HRR327720 IBN327719:IBN327720 ILJ327719:ILJ327720 IVF327719:IVF327720 JFB327719:JFB327720 JOX327719:JOX327720 JYT327719:JYT327720 KIP327719:KIP327720 KSL327719:KSL327720 LCH327719:LCH327720 LMD327719:LMD327720 LVZ327719:LVZ327720 MFV327719:MFV327720 MPR327719:MPR327720 MZN327719:MZN327720 NJJ327719:NJJ327720 NTF327719:NTF327720 ODB327719:ODB327720 OMX327719:OMX327720 OWT327719:OWT327720 PGP327719:PGP327720 PQL327719:PQL327720 QAH327719:QAH327720 QKD327719:QKD327720 QTZ327719:QTZ327720 RDV327719:RDV327720 RNR327719:RNR327720 RXN327719:RXN327720 SHJ327719:SHJ327720 SRF327719:SRF327720 TBB327719:TBB327720 TKX327719:TKX327720 TUT327719:TUT327720 UEP327719:UEP327720 UOL327719:UOL327720 UYH327719:UYH327720 VID327719:VID327720 VRZ327719:VRZ327720 WBV327719:WBV327720 WLR327719:WLR327720 WVN327719:WVN327720 F393255:F393256 JB393255:JB393256 SX393255:SX393256 ACT393255:ACT393256 AMP393255:AMP393256 AWL393255:AWL393256 BGH393255:BGH393256 BQD393255:BQD393256 BZZ393255:BZZ393256 CJV393255:CJV393256 CTR393255:CTR393256 DDN393255:DDN393256 DNJ393255:DNJ393256 DXF393255:DXF393256 EHB393255:EHB393256 EQX393255:EQX393256 FAT393255:FAT393256 FKP393255:FKP393256 FUL393255:FUL393256 GEH393255:GEH393256 GOD393255:GOD393256 GXZ393255:GXZ393256 HHV393255:HHV393256 HRR393255:HRR393256 IBN393255:IBN393256 ILJ393255:ILJ393256 IVF393255:IVF393256 JFB393255:JFB393256 JOX393255:JOX393256 JYT393255:JYT393256 KIP393255:KIP393256 KSL393255:KSL393256 LCH393255:LCH393256 LMD393255:LMD393256 LVZ393255:LVZ393256 MFV393255:MFV393256 MPR393255:MPR393256 MZN393255:MZN393256 NJJ393255:NJJ393256 NTF393255:NTF393256 ODB393255:ODB393256 OMX393255:OMX393256 OWT393255:OWT393256 PGP393255:PGP393256 PQL393255:PQL393256 QAH393255:QAH393256 QKD393255:QKD393256 QTZ393255:QTZ393256 RDV393255:RDV393256 RNR393255:RNR393256 RXN393255:RXN393256 SHJ393255:SHJ393256 SRF393255:SRF393256 TBB393255:TBB393256 TKX393255:TKX393256 TUT393255:TUT393256 UEP393255:UEP393256 UOL393255:UOL393256 UYH393255:UYH393256 VID393255:VID393256 VRZ393255:VRZ393256 WBV393255:WBV393256 WLR393255:WLR393256 WVN393255:WVN393256 F458791:F458792 JB458791:JB458792 SX458791:SX458792 ACT458791:ACT458792 AMP458791:AMP458792 AWL458791:AWL458792 BGH458791:BGH458792 BQD458791:BQD458792 BZZ458791:BZZ458792 CJV458791:CJV458792 CTR458791:CTR458792 DDN458791:DDN458792 DNJ458791:DNJ458792 DXF458791:DXF458792 EHB458791:EHB458792 EQX458791:EQX458792 FAT458791:FAT458792 FKP458791:FKP458792 FUL458791:FUL458792 GEH458791:GEH458792 GOD458791:GOD458792 GXZ458791:GXZ458792 HHV458791:HHV458792 HRR458791:HRR458792 IBN458791:IBN458792 ILJ458791:ILJ458792 IVF458791:IVF458792 JFB458791:JFB458792 JOX458791:JOX458792 JYT458791:JYT458792 KIP458791:KIP458792 KSL458791:KSL458792 LCH458791:LCH458792 LMD458791:LMD458792 LVZ458791:LVZ458792 MFV458791:MFV458792 MPR458791:MPR458792 MZN458791:MZN458792 NJJ458791:NJJ458792 NTF458791:NTF458792 ODB458791:ODB458792 OMX458791:OMX458792 OWT458791:OWT458792 PGP458791:PGP458792 PQL458791:PQL458792 QAH458791:QAH458792 QKD458791:QKD458792 QTZ458791:QTZ458792 RDV458791:RDV458792 RNR458791:RNR458792 RXN458791:RXN458792 SHJ458791:SHJ458792 SRF458791:SRF458792 TBB458791:TBB458792 TKX458791:TKX458792 TUT458791:TUT458792 UEP458791:UEP458792 UOL458791:UOL458792 UYH458791:UYH458792 VID458791:VID458792 VRZ458791:VRZ458792 WBV458791:WBV458792 WLR458791:WLR458792 WVN458791:WVN458792 F524327:F524328 JB524327:JB524328 SX524327:SX524328 ACT524327:ACT524328 AMP524327:AMP524328 AWL524327:AWL524328 BGH524327:BGH524328 BQD524327:BQD524328 BZZ524327:BZZ524328 CJV524327:CJV524328 CTR524327:CTR524328 DDN524327:DDN524328 DNJ524327:DNJ524328 DXF524327:DXF524328 EHB524327:EHB524328 EQX524327:EQX524328 FAT524327:FAT524328 FKP524327:FKP524328 FUL524327:FUL524328 GEH524327:GEH524328 GOD524327:GOD524328 GXZ524327:GXZ524328 HHV524327:HHV524328 HRR524327:HRR524328 IBN524327:IBN524328 ILJ524327:ILJ524328 IVF524327:IVF524328 JFB524327:JFB524328 JOX524327:JOX524328 JYT524327:JYT524328 KIP524327:KIP524328 KSL524327:KSL524328 LCH524327:LCH524328 LMD524327:LMD524328 LVZ524327:LVZ524328 MFV524327:MFV524328 MPR524327:MPR524328 MZN524327:MZN524328 NJJ524327:NJJ524328 NTF524327:NTF524328 ODB524327:ODB524328 OMX524327:OMX524328 OWT524327:OWT524328 PGP524327:PGP524328 PQL524327:PQL524328 QAH524327:QAH524328 QKD524327:QKD524328 QTZ524327:QTZ524328 RDV524327:RDV524328 RNR524327:RNR524328 RXN524327:RXN524328 SHJ524327:SHJ524328 SRF524327:SRF524328 TBB524327:TBB524328 TKX524327:TKX524328 TUT524327:TUT524328 UEP524327:UEP524328 UOL524327:UOL524328 UYH524327:UYH524328 VID524327:VID524328 VRZ524327:VRZ524328 WBV524327:WBV524328 WLR524327:WLR524328 WVN524327:WVN524328 F589863:F589864 JB589863:JB589864 SX589863:SX589864 ACT589863:ACT589864 AMP589863:AMP589864 AWL589863:AWL589864 BGH589863:BGH589864 BQD589863:BQD589864 BZZ589863:BZZ589864 CJV589863:CJV589864 CTR589863:CTR589864 DDN589863:DDN589864 DNJ589863:DNJ589864 DXF589863:DXF589864 EHB589863:EHB589864 EQX589863:EQX589864 FAT589863:FAT589864 FKP589863:FKP589864 FUL589863:FUL589864 GEH589863:GEH589864 GOD589863:GOD589864 GXZ589863:GXZ589864 HHV589863:HHV589864 HRR589863:HRR589864 IBN589863:IBN589864 ILJ589863:ILJ589864 IVF589863:IVF589864 JFB589863:JFB589864 JOX589863:JOX589864 JYT589863:JYT589864 KIP589863:KIP589864 KSL589863:KSL589864 LCH589863:LCH589864 LMD589863:LMD589864 LVZ589863:LVZ589864 MFV589863:MFV589864 MPR589863:MPR589864 MZN589863:MZN589864 NJJ589863:NJJ589864 NTF589863:NTF589864 ODB589863:ODB589864 OMX589863:OMX589864 OWT589863:OWT589864 PGP589863:PGP589864 PQL589863:PQL589864 QAH589863:QAH589864 QKD589863:QKD589864 QTZ589863:QTZ589864 RDV589863:RDV589864 RNR589863:RNR589864 RXN589863:RXN589864 SHJ589863:SHJ589864 SRF589863:SRF589864 TBB589863:TBB589864 TKX589863:TKX589864 TUT589863:TUT589864 UEP589863:UEP589864 UOL589863:UOL589864 UYH589863:UYH589864 VID589863:VID589864 VRZ589863:VRZ589864 WBV589863:WBV589864 WLR589863:WLR589864 WVN589863:WVN589864 F655399:F655400 JB655399:JB655400 SX655399:SX655400 ACT655399:ACT655400 AMP655399:AMP655400 AWL655399:AWL655400 BGH655399:BGH655400 BQD655399:BQD655400 BZZ655399:BZZ655400 CJV655399:CJV655400 CTR655399:CTR655400 DDN655399:DDN655400 DNJ655399:DNJ655400 DXF655399:DXF655400 EHB655399:EHB655400 EQX655399:EQX655400 FAT655399:FAT655400 FKP655399:FKP655400 FUL655399:FUL655400 GEH655399:GEH655400 GOD655399:GOD655400 GXZ655399:GXZ655400 HHV655399:HHV655400 HRR655399:HRR655400 IBN655399:IBN655400 ILJ655399:ILJ655400 IVF655399:IVF655400 JFB655399:JFB655400 JOX655399:JOX655400 JYT655399:JYT655400 KIP655399:KIP655400 KSL655399:KSL655400 LCH655399:LCH655400 LMD655399:LMD655400 LVZ655399:LVZ655400 MFV655399:MFV655400 MPR655399:MPR655400 MZN655399:MZN655400 NJJ655399:NJJ655400 NTF655399:NTF655400 ODB655399:ODB655400 OMX655399:OMX655400 OWT655399:OWT655400 PGP655399:PGP655400 PQL655399:PQL655400 QAH655399:QAH655400 QKD655399:QKD655400 QTZ655399:QTZ655400 RDV655399:RDV655400 RNR655399:RNR655400 RXN655399:RXN655400 SHJ655399:SHJ655400 SRF655399:SRF655400 TBB655399:TBB655400 TKX655399:TKX655400 TUT655399:TUT655400 UEP655399:UEP655400 UOL655399:UOL655400 UYH655399:UYH655400 VID655399:VID655400 VRZ655399:VRZ655400 WBV655399:WBV655400 WLR655399:WLR655400 WVN655399:WVN655400 F720935:F720936 JB720935:JB720936 SX720935:SX720936 ACT720935:ACT720936 AMP720935:AMP720936 AWL720935:AWL720936 BGH720935:BGH720936 BQD720935:BQD720936 BZZ720935:BZZ720936 CJV720935:CJV720936 CTR720935:CTR720936 DDN720935:DDN720936 DNJ720935:DNJ720936 DXF720935:DXF720936 EHB720935:EHB720936 EQX720935:EQX720936 FAT720935:FAT720936 FKP720935:FKP720936 FUL720935:FUL720936 GEH720935:GEH720936 GOD720935:GOD720936 GXZ720935:GXZ720936 HHV720935:HHV720936 HRR720935:HRR720936 IBN720935:IBN720936 ILJ720935:ILJ720936 IVF720935:IVF720936 JFB720935:JFB720936 JOX720935:JOX720936 JYT720935:JYT720936 KIP720935:KIP720936 KSL720935:KSL720936 LCH720935:LCH720936 LMD720935:LMD720936 LVZ720935:LVZ720936 MFV720935:MFV720936 MPR720935:MPR720936 MZN720935:MZN720936 NJJ720935:NJJ720936 NTF720935:NTF720936 ODB720935:ODB720936 OMX720935:OMX720936 OWT720935:OWT720936 PGP720935:PGP720936 PQL720935:PQL720936 QAH720935:QAH720936 QKD720935:QKD720936 QTZ720935:QTZ720936 RDV720935:RDV720936 RNR720935:RNR720936 RXN720935:RXN720936 SHJ720935:SHJ720936 SRF720935:SRF720936 TBB720935:TBB720936 TKX720935:TKX720936 TUT720935:TUT720936 UEP720935:UEP720936 UOL720935:UOL720936 UYH720935:UYH720936 VID720935:VID720936 VRZ720935:VRZ720936 WBV720935:WBV720936 WLR720935:WLR720936 WVN720935:WVN720936 F786471:F786472 JB786471:JB786472 SX786471:SX786472 ACT786471:ACT786472 AMP786471:AMP786472 AWL786471:AWL786472 BGH786471:BGH786472 BQD786471:BQD786472 BZZ786471:BZZ786472 CJV786471:CJV786472 CTR786471:CTR786472 DDN786471:DDN786472 DNJ786471:DNJ786472 DXF786471:DXF786472 EHB786471:EHB786472 EQX786471:EQX786472 FAT786471:FAT786472 FKP786471:FKP786472 FUL786471:FUL786472 GEH786471:GEH786472 GOD786471:GOD786472 GXZ786471:GXZ786472 HHV786471:HHV786472 HRR786471:HRR786472 IBN786471:IBN786472 ILJ786471:ILJ786472 IVF786471:IVF786472 JFB786471:JFB786472 JOX786471:JOX786472 JYT786471:JYT786472 KIP786471:KIP786472 KSL786471:KSL786472 LCH786471:LCH786472 LMD786471:LMD786472 LVZ786471:LVZ786472 MFV786471:MFV786472 MPR786471:MPR786472 MZN786471:MZN786472 NJJ786471:NJJ786472 NTF786471:NTF786472 ODB786471:ODB786472 OMX786471:OMX786472 OWT786471:OWT786472 PGP786471:PGP786472 PQL786471:PQL786472 QAH786471:QAH786472 QKD786471:QKD786472 QTZ786471:QTZ786472 RDV786471:RDV786472 RNR786471:RNR786472 RXN786471:RXN786472 SHJ786471:SHJ786472 SRF786471:SRF786472 TBB786471:TBB786472 TKX786471:TKX786472 TUT786471:TUT786472 UEP786471:UEP786472 UOL786471:UOL786472 UYH786471:UYH786472 VID786471:VID786472 VRZ786471:VRZ786472 WBV786471:WBV786472 WLR786471:WLR786472 WVN786471:WVN786472 F852007:F852008 JB852007:JB852008 SX852007:SX852008 ACT852007:ACT852008 AMP852007:AMP852008 AWL852007:AWL852008 BGH852007:BGH852008 BQD852007:BQD852008 BZZ852007:BZZ852008 CJV852007:CJV852008 CTR852007:CTR852008 DDN852007:DDN852008 DNJ852007:DNJ852008 DXF852007:DXF852008 EHB852007:EHB852008 EQX852007:EQX852008 FAT852007:FAT852008 FKP852007:FKP852008 FUL852007:FUL852008 GEH852007:GEH852008 GOD852007:GOD852008 GXZ852007:GXZ852008 HHV852007:HHV852008 HRR852007:HRR852008 IBN852007:IBN852008 ILJ852007:ILJ852008 IVF852007:IVF852008 JFB852007:JFB852008 JOX852007:JOX852008 JYT852007:JYT852008 KIP852007:KIP852008 KSL852007:KSL852008 LCH852007:LCH852008 LMD852007:LMD852008 LVZ852007:LVZ852008 MFV852007:MFV852008 MPR852007:MPR852008 MZN852007:MZN852008 NJJ852007:NJJ852008 NTF852007:NTF852008 ODB852007:ODB852008 OMX852007:OMX852008 OWT852007:OWT852008 PGP852007:PGP852008 PQL852007:PQL852008 QAH852007:QAH852008 QKD852007:QKD852008 QTZ852007:QTZ852008 RDV852007:RDV852008 RNR852007:RNR852008 RXN852007:RXN852008 SHJ852007:SHJ852008 SRF852007:SRF852008 TBB852007:TBB852008 TKX852007:TKX852008 TUT852007:TUT852008 UEP852007:UEP852008 UOL852007:UOL852008 UYH852007:UYH852008 VID852007:VID852008 VRZ852007:VRZ852008 WBV852007:WBV852008 WLR852007:WLR852008 WVN852007:WVN852008 F917543:F917544 JB917543:JB917544 SX917543:SX917544 ACT917543:ACT917544 AMP917543:AMP917544 AWL917543:AWL917544 BGH917543:BGH917544 BQD917543:BQD917544 BZZ917543:BZZ917544 CJV917543:CJV917544 CTR917543:CTR917544 DDN917543:DDN917544 DNJ917543:DNJ917544 DXF917543:DXF917544 EHB917543:EHB917544 EQX917543:EQX917544 FAT917543:FAT917544 FKP917543:FKP917544 FUL917543:FUL917544 GEH917543:GEH917544 GOD917543:GOD917544 GXZ917543:GXZ917544 HHV917543:HHV917544 HRR917543:HRR917544 IBN917543:IBN917544 ILJ917543:ILJ917544 IVF917543:IVF917544 JFB917543:JFB917544 JOX917543:JOX917544 JYT917543:JYT917544 KIP917543:KIP917544 KSL917543:KSL917544 LCH917543:LCH917544 LMD917543:LMD917544 LVZ917543:LVZ917544 MFV917543:MFV917544 MPR917543:MPR917544 MZN917543:MZN917544 NJJ917543:NJJ917544 NTF917543:NTF917544 ODB917543:ODB917544 OMX917543:OMX917544 OWT917543:OWT917544 PGP917543:PGP917544 PQL917543:PQL917544 QAH917543:QAH917544 QKD917543:QKD917544 QTZ917543:QTZ917544 RDV917543:RDV917544 RNR917543:RNR917544 RXN917543:RXN917544 SHJ917543:SHJ917544 SRF917543:SRF917544 TBB917543:TBB917544 TKX917543:TKX917544 TUT917543:TUT917544 UEP917543:UEP917544 UOL917543:UOL917544 UYH917543:UYH917544 VID917543:VID917544 VRZ917543:VRZ917544 WBV917543:WBV917544 WLR917543:WLR917544 WVN917543:WVN917544 F983079:F983080 JB983079:JB983080 SX983079:SX983080 ACT983079:ACT983080 AMP983079:AMP983080 AWL983079:AWL983080 BGH983079:BGH983080 BQD983079:BQD983080 BZZ983079:BZZ983080 CJV983079:CJV983080 CTR983079:CTR983080 DDN983079:DDN983080 DNJ983079:DNJ983080 DXF983079:DXF983080 EHB983079:EHB983080 EQX983079:EQX983080 FAT983079:FAT983080 FKP983079:FKP983080 FUL983079:FUL983080 GEH983079:GEH983080 GOD983079:GOD983080 GXZ983079:GXZ983080 HHV983079:HHV983080 HRR983079:HRR983080 IBN983079:IBN983080 ILJ983079:ILJ983080 IVF983079:IVF983080 JFB983079:JFB983080 JOX983079:JOX983080 JYT983079:JYT983080 KIP983079:KIP983080 KSL983079:KSL983080 LCH983079:LCH983080 LMD983079:LMD983080 LVZ983079:LVZ983080 MFV983079:MFV983080 MPR983079:MPR983080 MZN983079:MZN983080 NJJ983079:NJJ983080 NTF983079:NTF983080 ODB983079:ODB983080 OMX983079:OMX983080 OWT983079:OWT983080 PGP983079:PGP983080 PQL983079:PQL983080 QAH983079:QAH983080 QKD983079:QKD983080 QTZ983079:QTZ983080 RDV983079:RDV983080 RNR983079:RNR983080 RXN983079:RXN983080 SHJ983079:SHJ983080 SRF983079:SRF983080 TBB983079:TBB983080 TKX983079:TKX983080 TUT983079:TUT983080 UEP983079:UEP983080 UOL983079:UOL983080 UYH983079:UYH983080 VID983079:VID983080 VRZ983079:VRZ983080 WBV983079:WBV983080 WLR983079:WLR983080">
      <formula1>"Full Audit, Other, None"</formula1>
    </dataValidation>
    <dataValidation type="list" allowBlank="1" showInputMessage="1" showErrorMessage="1" sqref="WVN983078 JB38 SX38 ACT38 AMP38 AWL38 BGH38 BQD38 BZZ38 CJV38 CTR38 DDN38 DNJ38 DXF38 EHB38 EQX38 FAT38 FKP38 FUL38 GEH38 GOD38 GXZ38 HHV38 HRR38 IBN38 ILJ38 IVF38 JFB38 JOX38 JYT38 KIP38 KSL38 LCH38 LMD38 LVZ38 MFV38 MPR38 MZN38 NJJ38 NTF38 ODB38 OMX38 OWT38 PGP38 PQL38 QAH38 QKD38 QTZ38 RDV38 RNR38 RXN38 SHJ38 SRF38 TBB38 TKX38 TUT38 UEP38 UOL38 UYH38 VID38 VRZ38 WBV38 WLR38 WVN38 F65574 JB65574 SX65574 ACT65574 AMP65574 AWL65574 BGH65574 BQD65574 BZZ65574 CJV65574 CTR65574 DDN65574 DNJ65574 DXF65574 EHB65574 EQX65574 FAT65574 FKP65574 FUL65574 GEH65574 GOD65574 GXZ65574 HHV65574 HRR65574 IBN65574 ILJ65574 IVF65574 JFB65574 JOX65574 JYT65574 KIP65574 KSL65574 LCH65574 LMD65574 LVZ65574 MFV65574 MPR65574 MZN65574 NJJ65574 NTF65574 ODB65574 OMX65574 OWT65574 PGP65574 PQL65574 QAH65574 QKD65574 QTZ65574 RDV65574 RNR65574 RXN65574 SHJ65574 SRF65574 TBB65574 TKX65574 TUT65574 UEP65574 UOL65574 UYH65574 VID65574 VRZ65574 WBV65574 WLR65574 WVN65574 F131110 JB131110 SX131110 ACT131110 AMP131110 AWL131110 BGH131110 BQD131110 BZZ131110 CJV131110 CTR131110 DDN131110 DNJ131110 DXF131110 EHB131110 EQX131110 FAT131110 FKP131110 FUL131110 GEH131110 GOD131110 GXZ131110 HHV131110 HRR131110 IBN131110 ILJ131110 IVF131110 JFB131110 JOX131110 JYT131110 KIP131110 KSL131110 LCH131110 LMD131110 LVZ131110 MFV131110 MPR131110 MZN131110 NJJ131110 NTF131110 ODB131110 OMX131110 OWT131110 PGP131110 PQL131110 QAH131110 QKD131110 QTZ131110 RDV131110 RNR131110 RXN131110 SHJ131110 SRF131110 TBB131110 TKX131110 TUT131110 UEP131110 UOL131110 UYH131110 VID131110 VRZ131110 WBV131110 WLR131110 WVN131110 F196646 JB196646 SX196646 ACT196646 AMP196646 AWL196646 BGH196646 BQD196646 BZZ196646 CJV196646 CTR196646 DDN196646 DNJ196646 DXF196646 EHB196646 EQX196646 FAT196646 FKP196646 FUL196646 GEH196646 GOD196646 GXZ196646 HHV196646 HRR196646 IBN196646 ILJ196646 IVF196646 JFB196646 JOX196646 JYT196646 KIP196646 KSL196646 LCH196646 LMD196646 LVZ196646 MFV196646 MPR196646 MZN196646 NJJ196646 NTF196646 ODB196646 OMX196646 OWT196646 PGP196646 PQL196646 QAH196646 QKD196646 QTZ196646 RDV196646 RNR196646 RXN196646 SHJ196646 SRF196646 TBB196646 TKX196646 TUT196646 UEP196646 UOL196646 UYH196646 VID196646 VRZ196646 WBV196646 WLR196646 WVN196646 F262182 JB262182 SX262182 ACT262182 AMP262182 AWL262182 BGH262182 BQD262182 BZZ262182 CJV262182 CTR262182 DDN262182 DNJ262182 DXF262182 EHB262182 EQX262182 FAT262182 FKP262182 FUL262182 GEH262182 GOD262182 GXZ262182 HHV262182 HRR262182 IBN262182 ILJ262182 IVF262182 JFB262182 JOX262182 JYT262182 KIP262182 KSL262182 LCH262182 LMD262182 LVZ262182 MFV262182 MPR262182 MZN262182 NJJ262182 NTF262182 ODB262182 OMX262182 OWT262182 PGP262182 PQL262182 QAH262182 QKD262182 QTZ262182 RDV262182 RNR262182 RXN262182 SHJ262182 SRF262182 TBB262182 TKX262182 TUT262182 UEP262182 UOL262182 UYH262182 VID262182 VRZ262182 WBV262182 WLR262182 WVN262182 F327718 JB327718 SX327718 ACT327718 AMP327718 AWL327718 BGH327718 BQD327718 BZZ327718 CJV327718 CTR327718 DDN327718 DNJ327718 DXF327718 EHB327718 EQX327718 FAT327718 FKP327718 FUL327718 GEH327718 GOD327718 GXZ327718 HHV327718 HRR327718 IBN327718 ILJ327718 IVF327718 JFB327718 JOX327718 JYT327718 KIP327718 KSL327718 LCH327718 LMD327718 LVZ327718 MFV327718 MPR327718 MZN327718 NJJ327718 NTF327718 ODB327718 OMX327718 OWT327718 PGP327718 PQL327718 QAH327718 QKD327718 QTZ327718 RDV327718 RNR327718 RXN327718 SHJ327718 SRF327718 TBB327718 TKX327718 TUT327718 UEP327718 UOL327718 UYH327718 VID327718 VRZ327718 WBV327718 WLR327718 WVN327718 F393254 JB393254 SX393254 ACT393254 AMP393254 AWL393254 BGH393254 BQD393254 BZZ393254 CJV393254 CTR393254 DDN393254 DNJ393254 DXF393254 EHB393254 EQX393254 FAT393254 FKP393254 FUL393254 GEH393254 GOD393254 GXZ393254 HHV393254 HRR393254 IBN393254 ILJ393254 IVF393254 JFB393254 JOX393254 JYT393254 KIP393254 KSL393254 LCH393254 LMD393254 LVZ393254 MFV393254 MPR393254 MZN393254 NJJ393254 NTF393254 ODB393254 OMX393254 OWT393254 PGP393254 PQL393254 QAH393254 QKD393254 QTZ393254 RDV393254 RNR393254 RXN393254 SHJ393254 SRF393254 TBB393254 TKX393254 TUT393254 UEP393254 UOL393254 UYH393254 VID393254 VRZ393254 WBV393254 WLR393254 WVN393254 F458790 JB458790 SX458790 ACT458790 AMP458790 AWL458790 BGH458790 BQD458790 BZZ458790 CJV458790 CTR458790 DDN458790 DNJ458790 DXF458790 EHB458790 EQX458790 FAT458790 FKP458790 FUL458790 GEH458790 GOD458790 GXZ458790 HHV458790 HRR458790 IBN458790 ILJ458790 IVF458790 JFB458790 JOX458790 JYT458790 KIP458790 KSL458790 LCH458790 LMD458790 LVZ458790 MFV458790 MPR458790 MZN458790 NJJ458790 NTF458790 ODB458790 OMX458790 OWT458790 PGP458790 PQL458790 QAH458790 QKD458790 QTZ458790 RDV458790 RNR458790 RXN458790 SHJ458790 SRF458790 TBB458790 TKX458790 TUT458790 UEP458790 UOL458790 UYH458790 VID458790 VRZ458790 WBV458790 WLR458790 WVN458790 F524326 JB524326 SX524326 ACT524326 AMP524326 AWL524326 BGH524326 BQD524326 BZZ524326 CJV524326 CTR524326 DDN524326 DNJ524326 DXF524326 EHB524326 EQX524326 FAT524326 FKP524326 FUL524326 GEH524326 GOD524326 GXZ524326 HHV524326 HRR524326 IBN524326 ILJ524326 IVF524326 JFB524326 JOX524326 JYT524326 KIP524326 KSL524326 LCH524326 LMD524326 LVZ524326 MFV524326 MPR524326 MZN524326 NJJ524326 NTF524326 ODB524326 OMX524326 OWT524326 PGP524326 PQL524326 QAH524326 QKD524326 QTZ524326 RDV524326 RNR524326 RXN524326 SHJ524326 SRF524326 TBB524326 TKX524326 TUT524326 UEP524326 UOL524326 UYH524326 VID524326 VRZ524326 WBV524326 WLR524326 WVN524326 F589862 JB589862 SX589862 ACT589862 AMP589862 AWL589862 BGH589862 BQD589862 BZZ589862 CJV589862 CTR589862 DDN589862 DNJ589862 DXF589862 EHB589862 EQX589862 FAT589862 FKP589862 FUL589862 GEH589862 GOD589862 GXZ589862 HHV589862 HRR589862 IBN589862 ILJ589862 IVF589862 JFB589862 JOX589862 JYT589862 KIP589862 KSL589862 LCH589862 LMD589862 LVZ589862 MFV589862 MPR589862 MZN589862 NJJ589862 NTF589862 ODB589862 OMX589862 OWT589862 PGP589862 PQL589862 QAH589862 QKD589862 QTZ589862 RDV589862 RNR589862 RXN589862 SHJ589862 SRF589862 TBB589862 TKX589862 TUT589862 UEP589862 UOL589862 UYH589862 VID589862 VRZ589862 WBV589862 WLR589862 WVN589862 F655398 JB655398 SX655398 ACT655398 AMP655398 AWL655398 BGH655398 BQD655398 BZZ655398 CJV655398 CTR655398 DDN655398 DNJ655398 DXF655398 EHB655398 EQX655398 FAT655398 FKP655398 FUL655398 GEH655398 GOD655398 GXZ655398 HHV655398 HRR655398 IBN655398 ILJ655398 IVF655398 JFB655398 JOX655398 JYT655398 KIP655398 KSL655398 LCH655398 LMD655398 LVZ655398 MFV655398 MPR655398 MZN655398 NJJ655398 NTF655398 ODB655398 OMX655398 OWT655398 PGP655398 PQL655398 QAH655398 QKD655398 QTZ655398 RDV655398 RNR655398 RXN655398 SHJ655398 SRF655398 TBB655398 TKX655398 TUT655398 UEP655398 UOL655398 UYH655398 VID655398 VRZ655398 WBV655398 WLR655398 WVN655398 F720934 JB720934 SX720934 ACT720934 AMP720934 AWL720934 BGH720934 BQD720934 BZZ720934 CJV720934 CTR720934 DDN720934 DNJ720934 DXF720934 EHB720934 EQX720934 FAT720934 FKP720934 FUL720934 GEH720934 GOD720934 GXZ720934 HHV720934 HRR720934 IBN720934 ILJ720934 IVF720934 JFB720934 JOX720934 JYT720934 KIP720934 KSL720934 LCH720934 LMD720934 LVZ720934 MFV720934 MPR720934 MZN720934 NJJ720934 NTF720934 ODB720934 OMX720934 OWT720934 PGP720934 PQL720934 QAH720934 QKD720934 QTZ720934 RDV720934 RNR720934 RXN720934 SHJ720934 SRF720934 TBB720934 TKX720934 TUT720934 UEP720934 UOL720934 UYH720934 VID720934 VRZ720934 WBV720934 WLR720934 WVN720934 F786470 JB786470 SX786470 ACT786470 AMP786470 AWL786470 BGH786470 BQD786470 BZZ786470 CJV786470 CTR786470 DDN786470 DNJ786470 DXF786470 EHB786470 EQX786470 FAT786470 FKP786470 FUL786470 GEH786470 GOD786470 GXZ786470 HHV786470 HRR786470 IBN786470 ILJ786470 IVF786470 JFB786470 JOX786470 JYT786470 KIP786470 KSL786470 LCH786470 LMD786470 LVZ786470 MFV786470 MPR786470 MZN786470 NJJ786470 NTF786470 ODB786470 OMX786470 OWT786470 PGP786470 PQL786470 QAH786470 QKD786470 QTZ786470 RDV786470 RNR786470 RXN786470 SHJ786470 SRF786470 TBB786470 TKX786470 TUT786470 UEP786470 UOL786470 UYH786470 VID786470 VRZ786470 WBV786470 WLR786470 WVN786470 F852006 JB852006 SX852006 ACT852006 AMP852006 AWL852006 BGH852006 BQD852006 BZZ852006 CJV852006 CTR852006 DDN852006 DNJ852006 DXF852006 EHB852006 EQX852006 FAT852006 FKP852006 FUL852006 GEH852006 GOD852006 GXZ852006 HHV852006 HRR852006 IBN852006 ILJ852006 IVF852006 JFB852006 JOX852006 JYT852006 KIP852006 KSL852006 LCH852006 LMD852006 LVZ852006 MFV852006 MPR852006 MZN852006 NJJ852006 NTF852006 ODB852006 OMX852006 OWT852006 PGP852006 PQL852006 QAH852006 QKD852006 QTZ852006 RDV852006 RNR852006 RXN852006 SHJ852006 SRF852006 TBB852006 TKX852006 TUT852006 UEP852006 UOL852006 UYH852006 VID852006 VRZ852006 WBV852006 WLR852006 WVN852006 F917542 JB917542 SX917542 ACT917542 AMP917542 AWL917542 BGH917542 BQD917542 BZZ917542 CJV917542 CTR917542 DDN917542 DNJ917542 DXF917542 EHB917542 EQX917542 FAT917542 FKP917542 FUL917542 GEH917542 GOD917542 GXZ917542 HHV917542 HRR917542 IBN917542 ILJ917542 IVF917542 JFB917542 JOX917542 JYT917542 KIP917542 KSL917542 LCH917542 LMD917542 LVZ917542 MFV917542 MPR917542 MZN917542 NJJ917542 NTF917542 ODB917542 OMX917542 OWT917542 PGP917542 PQL917542 QAH917542 QKD917542 QTZ917542 RDV917542 RNR917542 RXN917542 SHJ917542 SRF917542 TBB917542 TKX917542 TUT917542 UEP917542 UOL917542 UYH917542 VID917542 VRZ917542 WBV917542 WLR917542 WVN917542 F983078 JB983078 SX983078 ACT983078 AMP983078 AWL983078 BGH983078 BQD983078 BZZ983078 CJV983078 CTR983078 DDN983078 DNJ983078 DXF983078 EHB983078 EQX983078 FAT983078 FKP983078 FUL983078 GEH983078 GOD983078 GXZ983078 HHV983078 HRR983078 IBN983078 ILJ983078 IVF983078 JFB983078 JOX983078 JYT983078 KIP983078 KSL983078 LCH983078 LMD983078 LVZ983078 MFV983078 MPR983078 MZN983078 NJJ983078 NTF983078 ODB983078 OMX983078 OWT983078 PGP983078 PQL983078 QAH983078 QKD983078 QTZ983078 RDV983078 RNR983078 RXN983078 SHJ983078 SRF983078 TBB983078 TKX983078 TUT983078 UEP983078 UOL983078 UYH983078 VID983078 VRZ983078 WBV983078 WLR983078">
      <formula1>"National RBAC,Local RBAC,Other,None"</formula1>
    </dataValidation>
    <dataValidation type="list" allowBlank="1" showInputMessage="1" showErrorMessage="1" sqref="WVN983081:WVN983082 JB41:JB42 SX41:SX42 ACT41:ACT42 AMP41:AMP42 AWL41:AWL42 BGH41:BGH42 BQD41:BQD42 BZZ41:BZZ42 CJV41:CJV42 CTR41:CTR42 DDN41:DDN42 DNJ41:DNJ42 DXF41:DXF42 EHB41:EHB42 EQX41:EQX42 FAT41:FAT42 FKP41:FKP42 FUL41:FUL42 GEH41:GEH42 GOD41:GOD42 GXZ41:GXZ42 HHV41:HHV42 HRR41:HRR42 IBN41:IBN42 ILJ41:ILJ42 IVF41:IVF42 JFB41:JFB42 JOX41:JOX42 JYT41:JYT42 KIP41:KIP42 KSL41:KSL42 LCH41:LCH42 LMD41:LMD42 LVZ41:LVZ42 MFV41:MFV42 MPR41:MPR42 MZN41:MZN42 NJJ41:NJJ42 NTF41:NTF42 ODB41:ODB42 OMX41:OMX42 OWT41:OWT42 PGP41:PGP42 PQL41:PQL42 QAH41:QAH42 QKD41:QKD42 QTZ41:QTZ42 RDV41:RDV42 RNR41:RNR42 RXN41:RXN42 SHJ41:SHJ42 SRF41:SRF42 TBB41:TBB42 TKX41:TKX42 TUT41:TUT42 UEP41:UEP42 UOL41:UOL42 UYH41:UYH42 VID41:VID42 VRZ41:VRZ42 WBV41:WBV42 WLR41:WLR42 WVN41:WVN42 F65577:F65578 JB65577:JB65578 SX65577:SX65578 ACT65577:ACT65578 AMP65577:AMP65578 AWL65577:AWL65578 BGH65577:BGH65578 BQD65577:BQD65578 BZZ65577:BZZ65578 CJV65577:CJV65578 CTR65577:CTR65578 DDN65577:DDN65578 DNJ65577:DNJ65578 DXF65577:DXF65578 EHB65577:EHB65578 EQX65577:EQX65578 FAT65577:FAT65578 FKP65577:FKP65578 FUL65577:FUL65578 GEH65577:GEH65578 GOD65577:GOD65578 GXZ65577:GXZ65578 HHV65577:HHV65578 HRR65577:HRR65578 IBN65577:IBN65578 ILJ65577:ILJ65578 IVF65577:IVF65578 JFB65577:JFB65578 JOX65577:JOX65578 JYT65577:JYT65578 KIP65577:KIP65578 KSL65577:KSL65578 LCH65577:LCH65578 LMD65577:LMD65578 LVZ65577:LVZ65578 MFV65577:MFV65578 MPR65577:MPR65578 MZN65577:MZN65578 NJJ65577:NJJ65578 NTF65577:NTF65578 ODB65577:ODB65578 OMX65577:OMX65578 OWT65577:OWT65578 PGP65577:PGP65578 PQL65577:PQL65578 QAH65577:QAH65578 QKD65577:QKD65578 QTZ65577:QTZ65578 RDV65577:RDV65578 RNR65577:RNR65578 RXN65577:RXN65578 SHJ65577:SHJ65578 SRF65577:SRF65578 TBB65577:TBB65578 TKX65577:TKX65578 TUT65577:TUT65578 UEP65577:UEP65578 UOL65577:UOL65578 UYH65577:UYH65578 VID65577:VID65578 VRZ65577:VRZ65578 WBV65577:WBV65578 WLR65577:WLR65578 WVN65577:WVN65578 F131113:F131114 JB131113:JB131114 SX131113:SX131114 ACT131113:ACT131114 AMP131113:AMP131114 AWL131113:AWL131114 BGH131113:BGH131114 BQD131113:BQD131114 BZZ131113:BZZ131114 CJV131113:CJV131114 CTR131113:CTR131114 DDN131113:DDN131114 DNJ131113:DNJ131114 DXF131113:DXF131114 EHB131113:EHB131114 EQX131113:EQX131114 FAT131113:FAT131114 FKP131113:FKP131114 FUL131113:FUL131114 GEH131113:GEH131114 GOD131113:GOD131114 GXZ131113:GXZ131114 HHV131113:HHV131114 HRR131113:HRR131114 IBN131113:IBN131114 ILJ131113:ILJ131114 IVF131113:IVF131114 JFB131113:JFB131114 JOX131113:JOX131114 JYT131113:JYT131114 KIP131113:KIP131114 KSL131113:KSL131114 LCH131113:LCH131114 LMD131113:LMD131114 LVZ131113:LVZ131114 MFV131113:MFV131114 MPR131113:MPR131114 MZN131113:MZN131114 NJJ131113:NJJ131114 NTF131113:NTF131114 ODB131113:ODB131114 OMX131113:OMX131114 OWT131113:OWT131114 PGP131113:PGP131114 PQL131113:PQL131114 QAH131113:QAH131114 QKD131113:QKD131114 QTZ131113:QTZ131114 RDV131113:RDV131114 RNR131113:RNR131114 RXN131113:RXN131114 SHJ131113:SHJ131114 SRF131113:SRF131114 TBB131113:TBB131114 TKX131113:TKX131114 TUT131113:TUT131114 UEP131113:UEP131114 UOL131113:UOL131114 UYH131113:UYH131114 VID131113:VID131114 VRZ131113:VRZ131114 WBV131113:WBV131114 WLR131113:WLR131114 WVN131113:WVN131114 F196649:F196650 JB196649:JB196650 SX196649:SX196650 ACT196649:ACT196650 AMP196649:AMP196650 AWL196649:AWL196650 BGH196649:BGH196650 BQD196649:BQD196650 BZZ196649:BZZ196650 CJV196649:CJV196650 CTR196649:CTR196650 DDN196649:DDN196650 DNJ196649:DNJ196650 DXF196649:DXF196650 EHB196649:EHB196650 EQX196649:EQX196650 FAT196649:FAT196650 FKP196649:FKP196650 FUL196649:FUL196650 GEH196649:GEH196650 GOD196649:GOD196650 GXZ196649:GXZ196650 HHV196649:HHV196650 HRR196649:HRR196650 IBN196649:IBN196650 ILJ196649:ILJ196650 IVF196649:IVF196650 JFB196649:JFB196650 JOX196649:JOX196650 JYT196649:JYT196650 KIP196649:KIP196650 KSL196649:KSL196650 LCH196649:LCH196650 LMD196649:LMD196650 LVZ196649:LVZ196650 MFV196649:MFV196650 MPR196649:MPR196650 MZN196649:MZN196650 NJJ196649:NJJ196650 NTF196649:NTF196650 ODB196649:ODB196650 OMX196649:OMX196650 OWT196649:OWT196650 PGP196649:PGP196650 PQL196649:PQL196650 QAH196649:QAH196650 QKD196649:QKD196650 QTZ196649:QTZ196650 RDV196649:RDV196650 RNR196649:RNR196650 RXN196649:RXN196650 SHJ196649:SHJ196650 SRF196649:SRF196650 TBB196649:TBB196650 TKX196649:TKX196650 TUT196649:TUT196650 UEP196649:UEP196650 UOL196649:UOL196650 UYH196649:UYH196650 VID196649:VID196650 VRZ196649:VRZ196650 WBV196649:WBV196650 WLR196649:WLR196650 WVN196649:WVN196650 F262185:F262186 JB262185:JB262186 SX262185:SX262186 ACT262185:ACT262186 AMP262185:AMP262186 AWL262185:AWL262186 BGH262185:BGH262186 BQD262185:BQD262186 BZZ262185:BZZ262186 CJV262185:CJV262186 CTR262185:CTR262186 DDN262185:DDN262186 DNJ262185:DNJ262186 DXF262185:DXF262186 EHB262185:EHB262186 EQX262185:EQX262186 FAT262185:FAT262186 FKP262185:FKP262186 FUL262185:FUL262186 GEH262185:GEH262186 GOD262185:GOD262186 GXZ262185:GXZ262186 HHV262185:HHV262186 HRR262185:HRR262186 IBN262185:IBN262186 ILJ262185:ILJ262186 IVF262185:IVF262186 JFB262185:JFB262186 JOX262185:JOX262186 JYT262185:JYT262186 KIP262185:KIP262186 KSL262185:KSL262186 LCH262185:LCH262186 LMD262185:LMD262186 LVZ262185:LVZ262186 MFV262185:MFV262186 MPR262185:MPR262186 MZN262185:MZN262186 NJJ262185:NJJ262186 NTF262185:NTF262186 ODB262185:ODB262186 OMX262185:OMX262186 OWT262185:OWT262186 PGP262185:PGP262186 PQL262185:PQL262186 QAH262185:QAH262186 QKD262185:QKD262186 QTZ262185:QTZ262186 RDV262185:RDV262186 RNR262185:RNR262186 RXN262185:RXN262186 SHJ262185:SHJ262186 SRF262185:SRF262186 TBB262185:TBB262186 TKX262185:TKX262186 TUT262185:TUT262186 UEP262185:UEP262186 UOL262185:UOL262186 UYH262185:UYH262186 VID262185:VID262186 VRZ262185:VRZ262186 WBV262185:WBV262186 WLR262185:WLR262186 WVN262185:WVN262186 F327721:F327722 JB327721:JB327722 SX327721:SX327722 ACT327721:ACT327722 AMP327721:AMP327722 AWL327721:AWL327722 BGH327721:BGH327722 BQD327721:BQD327722 BZZ327721:BZZ327722 CJV327721:CJV327722 CTR327721:CTR327722 DDN327721:DDN327722 DNJ327721:DNJ327722 DXF327721:DXF327722 EHB327721:EHB327722 EQX327721:EQX327722 FAT327721:FAT327722 FKP327721:FKP327722 FUL327721:FUL327722 GEH327721:GEH327722 GOD327721:GOD327722 GXZ327721:GXZ327722 HHV327721:HHV327722 HRR327721:HRR327722 IBN327721:IBN327722 ILJ327721:ILJ327722 IVF327721:IVF327722 JFB327721:JFB327722 JOX327721:JOX327722 JYT327721:JYT327722 KIP327721:KIP327722 KSL327721:KSL327722 LCH327721:LCH327722 LMD327721:LMD327722 LVZ327721:LVZ327722 MFV327721:MFV327722 MPR327721:MPR327722 MZN327721:MZN327722 NJJ327721:NJJ327722 NTF327721:NTF327722 ODB327721:ODB327722 OMX327721:OMX327722 OWT327721:OWT327722 PGP327721:PGP327722 PQL327721:PQL327722 QAH327721:QAH327722 QKD327721:QKD327722 QTZ327721:QTZ327722 RDV327721:RDV327722 RNR327721:RNR327722 RXN327721:RXN327722 SHJ327721:SHJ327722 SRF327721:SRF327722 TBB327721:TBB327722 TKX327721:TKX327722 TUT327721:TUT327722 UEP327721:UEP327722 UOL327721:UOL327722 UYH327721:UYH327722 VID327721:VID327722 VRZ327721:VRZ327722 WBV327721:WBV327722 WLR327721:WLR327722 WVN327721:WVN327722 F393257:F393258 JB393257:JB393258 SX393257:SX393258 ACT393257:ACT393258 AMP393257:AMP393258 AWL393257:AWL393258 BGH393257:BGH393258 BQD393257:BQD393258 BZZ393257:BZZ393258 CJV393257:CJV393258 CTR393257:CTR393258 DDN393257:DDN393258 DNJ393257:DNJ393258 DXF393257:DXF393258 EHB393257:EHB393258 EQX393257:EQX393258 FAT393257:FAT393258 FKP393257:FKP393258 FUL393257:FUL393258 GEH393257:GEH393258 GOD393257:GOD393258 GXZ393257:GXZ393258 HHV393257:HHV393258 HRR393257:HRR393258 IBN393257:IBN393258 ILJ393257:ILJ393258 IVF393257:IVF393258 JFB393257:JFB393258 JOX393257:JOX393258 JYT393257:JYT393258 KIP393257:KIP393258 KSL393257:KSL393258 LCH393257:LCH393258 LMD393257:LMD393258 LVZ393257:LVZ393258 MFV393257:MFV393258 MPR393257:MPR393258 MZN393257:MZN393258 NJJ393257:NJJ393258 NTF393257:NTF393258 ODB393257:ODB393258 OMX393257:OMX393258 OWT393257:OWT393258 PGP393257:PGP393258 PQL393257:PQL393258 QAH393257:QAH393258 QKD393257:QKD393258 QTZ393257:QTZ393258 RDV393257:RDV393258 RNR393257:RNR393258 RXN393257:RXN393258 SHJ393257:SHJ393258 SRF393257:SRF393258 TBB393257:TBB393258 TKX393257:TKX393258 TUT393257:TUT393258 UEP393257:UEP393258 UOL393257:UOL393258 UYH393257:UYH393258 VID393257:VID393258 VRZ393257:VRZ393258 WBV393257:WBV393258 WLR393257:WLR393258 WVN393257:WVN393258 F458793:F458794 JB458793:JB458794 SX458793:SX458794 ACT458793:ACT458794 AMP458793:AMP458794 AWL458793:AWL458794 BGH458793:BGH458794 BQD458793:BQD458794 BZZ458793:BZZ458794 CJV458793:CJV458794 CTR458793:CTR458794 DDN458793:DDN458794 DNJ458793:DNJ458794 DXF458793:DXF458794 EHB458793:EHB458794 EQX458793:EQX458794 FAT458793:FAT458794 FKP458793:FKP458794 FUL458793:FUL458794 GEH458793:GEH458794 GOD458793:GOD458794 GXZ458793:GXZ458794 HHV458793:HHV458794 HRR458793:HRR458794 IBN458793:IBN458794 ILJ458793:ILJ458794 IVF458793:IVF458794 JFB458793:JFB458794 JOX458793:JOX458794 JYT458793:JYT458794 KIP458793:KIP458794 KSL458793:KSL458794 LCH458793:LCH458794 LMD458793:LMD458794 LVZ458793:LVZ458794 MFV458793:MFV458794 MPR458793:MPR458794 MZN458793:MZN458794 NJJ458793:NJJ458794 NTF458793:NTF458794 ODB458793:ODB458794 OMX458793:OMX458794 OWT458793:OWT458794 PGP458793:PGP458794 PQL458793:PQL458794 QAH458793:QAH458794 QKD458793:QKD458794 QTZ458793:QTZ458794 RDV458793:RDV458794 RNR458793:RNR458794 RXN458793:RXN458794 SHJ458793:SHJ458794 SRF458793:SRF458794 TBB458793:TBB458794 TKX458793:TKX458794 TUT458793:TUT458794 UEP458793:UEP458794 UOL458793:UOL458794 UYH458793:UYH458794 VID458793:VID458794 VRZ458793:VRZ458794 WBV458793:WBV458794 WLR458793:WLR458794 WVN458793:WVN458794 F524329:F524330 JB524329:JB524330 SX524329:SX524330 ACT524329:ACT524330 AMP524329:AMP524330 AWL524329:AWL524330 BGH524329:BGH524330 BQD524329:BQD524330 BZZ524329:BZZ524330 CJV524329:CJV524330 CTR524329:CTR524330 DDN524329:DDN524330 DNJ524329:DNJ524330 DXF524329:DXF524330 EHB524329:EHB524330 EQX524329:EQX524330 FAT524329:FAT524330 FKP524329:FKP524330 FUL524329:FUL524330 GEH524329:GEH524330 GOD524329:GOD524330 GXZ524329:GXZ524330 HHV524329:HHV524330 HRR524329:HRR524330 IBN524329:IBN524330 ILJ524329:ILJ524330 IVF524329:IVF524330 JFB524329:JFB524330 JOX524329:JOX524330 JYT524329:JYT524330 KIP524329:KIP524330 KSL524329:KSL524330 LCH524329:LCH524330 LMD524329:LMD524330 LVZ524329:LVZ524330 MFV524329:MFV524330 MPR524329:MPR524330 MZN524329:MZN524330 NJJ524329:NJJ524330 NTF524329:NTF524330 ODB524329:ODB524330 OMX524329:OMX524330 OWT524329:OWT524330 PGP524329:PGP524330 PQL524329:PQL524330 QAH524329:QAH524330 QKD524329:QKD524330 QTZ524329:QTZ524330 RDV524329:RDV524330 RNR524329:RNR524330 RXN524329:RXN524330 SHJ524329:SHJ524330 SRF524329:SRF524330 TBB524329:TBB524330 TKX524329:TKX524330 TUT524329:TUT524330 UEP524329:UEP524330 UOL524329:UOL524330 UYH524329:UYH524330 VID524329:VID524330 VRZ524329:VRZ524330 WBV524329:WBV524330 WLR524329:WLR524330 WVN524329:WVN524330 F589865:F589866 JB589865:JB589866 SX589865:SX589866 ACT589865:ACT589866 AMP589865:AMP589866 AWL589865:AWL589866 BGH589865:BGH589866 BQD589865:BQD589866 BZZ589865:BZZ589866 CJV589865:CJV589866 CTR589865:CTR589866 DDN589865:DDN589866 DNJ589865:DNJ589866 DXF589865:DXF589866 EHB589865:EHB589866 EQX589865:EQX589866 FAT589865:FAT589866 FKP589865:FKP589866 FUL589865:FUL589866 GEH589865:GEH589866 GOD589865:GOD589866 GXZ589865:GXZ589866 HHV589865:HHV589866 HRR589865:HRR589866 IBN589865:IBN589866 ILJ589865:ILJ589866 IVF589865:IVF589866 JFB589865:JFB589866 JOX589865:JOX589866 JYT589865:JYT589866 KIP589865:KIP589866 KSL589865:KSL589866 LCH589865:LCH589866 LMD589865:LMD589866 LVZ589865:LVZ589866 MFV589865:MFV589866 MPR589865:MPR589866 MZN589865:MZN589866 NJJ589865:NJJ589866 NTF589865:NTF589866 ODB589865:ODB589866 OMX589865:OMX589866 OWT589865:OWT589866 PGP589865:PGP589866 PQL589865:PQL589866 QAH589865:QAH589866 QKD589865:QKD589866 QTZ589865:QTZ589866 RDV589865:RDV589866 RNR589865:RNR589866 RXN589865:RXN589866 SHJ589865:SHJ589866 SRF589865:SRF589866 TBB589865:TBB589866 TKX589865:TKX589866 TUT589865:TUT589866 UEP589865:UEP589866 UOL589865:UOL589866 UYH589865:UYH589866 VID589865:VID589866 VRZ589865:VRZ589866 WBV589865:WBV589866 WLR589865:WLR589866 WVN589865:WVN589866 F655401:F655402 JB655401:JB655402 SX655401:SX655402 ACT655401:ACT655402 AMP655401:AMP655402 AWL655401:AWL655402 BGH655401:BGH655402 BQD655401:BQD655402 BZZ655401:BZZ655402 CJV655401:CJV655402 CTR655401:CTR655402 DDN655401:DDN655402 DNJ655401:DNJ655402 DXF655401:DXF655402 EHB655401:EHB655402 EQX655401:EQX655402 FAT655401:FAT655402 FKP655401:FKP655402 FUL655401:FUL655402 GEH655401:GEH655402 GOD655401:GOD655402 GXZ655401:GXZ655402 HHV655401:HHV655402 HRR655401:HRR655402 IBN655401:IBN655402 ILJ655401:ILJ655402 IVF655401:IVF655402 JFB655401:JFB655402 JOX655401:JOX655402 JYT655401:JYT655402 KIP655401:KIP655402 KSL655401:KSL655402 LCH655401:LCH655402 LMD655401:LMD655402 LVZ655401:LVZ655402 MFV655401:MFV655402 MPR655401:MPR655402 MZN655401:MZN655402 NJJ655401:NJJ655402 NTF655401:NTF655402 ODB655401:ODB655402 OMX655401:OMX655402 OWT655401:OWT655402 PGP655401:PGP655402 PQL655401:PQL655402 QAH655401:QAH655402 QKD655401:QKD655402 QTZ655401:QTZ655402 RDV655401:RDV655402 RNR655401:RNR655402 RXN655401:RXN655402 SHJ655401:SHJ655402 SRF655401:SRF655402 TBB655401:TBB655402 TKX655401:TKX655402 TUT655401:TUT655402 UEP655401:UEP655402 UOL655401:UOL655402 UYH655401:UYH655402 VID655401:VID655402 VRZ655401:VRZ655402 WBV655401:WBV655402 WLR655401:WLR655402 WVN655401:WVN655402 F720937:F720938 JB720937:JB720938 SX720937:SX720938 ACT720937:ACT720938 AMP720937:AMP720938 AWL720937:AWL720938 BGH720937:BGH720938 BQD720937:BQD720938 BZZ720937:BZZ720938 CJV720937:CJV720938 CTR720937:CTR720938 DDN720937:DDN720938 DNJ720937:DNJ720938 DXF720937:DXF720938 EHB720937:EHB720938 EQX720937:EQX720938 FAT720937:FAT720938 FKP720937:FKP720938 FUL720937:FUL720938 GEH720937:GEH720938 GOD720937:GOD720938 GXZ720937:GXZ720938 HHV720937:HHV720938 HRR720937:HRR720938 IBN720937:IBN720938 ILJ720937:ILJ720938 IVF720937:IVF720938 JFB720937:JFB720938 JOX720937:JOX720938 JYT720937:JYT720938 KIP720937:KIP720938 KSL720937:KSL720938 LCH720937:LCH720938 LMD720937:LMD720938 LVZ720937:LVZ720938 MFV720937:MFV720938 MPR720937:MPR720938 MZN720937:MZN720938 NJJ720937:NJJ720938 NTF720937:NTF720938 ODB720937:ODB720938 OMX720937:OMX720938 OWT720937:OWT720938 PGP720937:PGP720938 PQL720937:PQL720938 QAH720937:QAH720938 QKD720937:QKD720938 QTZ720937:QTZ720938 RDV720937:RDV720938 RNR720937:RNR720938 RXN720937:RXN720938 SHJ720937:SHJ720938 SRF720937:SRF720938 TBB720937:TBB720938 TKX720937:TKX720938 TUT720937:TUT720938 UEP720937:UEP720938 UOL720937:UOL720938 UYH720937:UYH720938 VID720937:VID720938 VRZ720937:VRZ720938 WBV720937:WBV720938 WLR720937:WLR720938 WVN720937:WVN720938 F786473:F786474 JB786473:JB786474 SX786473:SX786474 ACT786473:ACT786474 AMP786473:AMP786474 AWL786473:AWL786474 BGH786473:BGH786474 BQD786473:BQD786474 BZZ786473:BZZ786474 CJV786473:CJV786474 CTR786473:CTR786474 DDN786473:DDN786474 DNJ786473:DNJ786474 DXF786473:DXF786474 EHB786473:EHB786474 EQX786473:EQX786474 FAT786473:FAT786474 FKP786473:FKP786474 FUL786473:FUL786474 GEH786473:GEH786474 GOD786473:GOD786474 GXZ786473:GXZ786474 HHV786473:HHV786474 HRR786473:HRR786474 IBN786473:IBN786474 ILJ786473:ILJ786474 IVF786473:IVF786474 JFB786473:JFB786474 JOX786473:JOX786474 JYT786473:JYT786474 KIP786473:KIP786474 KSL786473:KSL786474 LCH786473:LCH786474 LMD786473:LMD786474 LVZ786473:LVZ786474 MFV786473:MFV786474 MPR786473:MPR786474 MZN786473:MZN786474 NJJ786473:NJJ786474 NTF786473:NTF786474 ODB786473:ODB786474 OMX786473:OMX786474 OWT786473:OWT786474 PGP786473:PGP786474 PQL786473:PQL786474 QAH786473:QAH786474 QKD786473:QKD786474 QTZ786473:QTZ786474 RDV786473:RDV786474 RNR786473:RNR786474 RXN786473:RXN786474 SHJ786473:SHJ786474 SRF786473:SRF786474 TBB786473:TBB786474 TKX786473:TKX786474 TUT786473:TUT786474 UEP786473:UEP786474 UOL786473:UOL786474 UYH786473:UYH786474 VID786473:VID786474 VRZ786473:VRZ786474 WBV786473:WBV786474 WLR786473:WLR786474 WVN786473:WVN786474 F852009:F852010 JB852009:JB852010 SX852009:SX852010 ACT852009:ACT852010 AMP852009:AMP852010 AWL852009:AWL852010 BGH852009:BGH852010 BQD852009:BQD852010 BZZ852009:BZZ852010 CJV852009:CJV852010 CTR852009:CTR852010 DDN852009:DDN852010 DNJ852009:DNJ852010 DXF852009:DXF852010 EHB852009:EHB852010 EQX852009:EQX852010 FAT852009:FAT852010 FKP852009:FKP852010 FUL852009:FUL852010 GEH852009:GEH852010 GOD852009:GOD852010 GXZ852009:GXZ852010 HHV852009:HHV852010 HRR852009:HRR852010 IBN852009:IBN852010 ILJ852009:ILJ852010 IVF852009:IVF852010 JFB852009:JFB852010 JOX852009:JOX852010 JYT852009:JYT852010 KIP852009:KIP852010 KSL852009:KSL852010 LCH852009:LCH852010 LMD852009:LMD852010 LVZ852009:LVZ852010 MFV852009:MFV852010 MPR852009:MPR852010 MZN852009:MZN852010 NJJ852009:NJJ852010 NTF852009:NTF852010 ODB852009:ODB852010 OMX852009:OMX852010 OWT852009:OWT852010 PGP852009:PGP852010 PQL852009:PQL852010 QAH852009:QAH852010 QKD852009:QKD852010 QTZ852009:QTZ852010 RDV852009:RDV852010 RNR852009:RNR852010 RXN852009:RXN852010 SHJ852009:SHJ852010 SRF852009:SRF852010 TBB852009:TBB852010 TKX852009:TKX852010 TUT852009:TUT852010 UEP852009:UEP852010 UOL852009:UOL852010 UYH852009:UYH852010 VID852009:VID852010 VRZ852009:VRZ852010 WBV852009:WBV852010 WLR852009:WLR852010 WVN852009:WVN852010 F917545:F917546 JB917545:JB917546 SX917545:SX917546 ACT917545:ACT917546 AMP917545:AMP917546 AWL917545:AWL917546 BGH917545:BGH917546 BQD917545:BQD917546 BZZ917545:BZZ917546 CJV917545:CJV917546 CTR917545:CTR917546 DDN917545:DDN917546 DNJ917545:DNJ917546 DXF917545:DXF917546 EHB917545:EHB917546 EQX917545:EQX917546 FAT917545:FAT917546 FKP917545:FKP917546 FUL917545:FUL917546 GEH917545:GEH917546 GOD917545:GOD917546 GXZ917545:GXZ917546 HHV917545:HHV917546 HRR917545:HRR917546 IBN917545:IBN917546 ILJ917545:ILJ917546 IVF917545:IVF917546 JFB917545:JFB917546 JOX917545:JOX917546 JYT917545:JYT917546 KIP917545:KIP917546 KSL917545:KSL917546 LCH917545:LCH917546 LMD917545:LMD917546 LVZ917545:LVZ917546 MFV917545:MFV917546 MPR917545:MPR917546 MZN917545:MZN917546 NJJ917545:NJJ917546 NTF917545:NTF917546 ODB917545:ODB917546 OMX917545:OMX917546 OWT917545:OWT917546 PGP917545:PGP917546 PQL917545:PQL917546 QAH917545:QAH917546 QKD917545:QKD917546 QTZ917545:QTZ917546 RDV917545:RDV917546 RNR917545:RNR917546 RXN917545:RXN917546 SHJ917545:SHJ917546 SRF917545:SRF917546 TBB917545:TBB917546 TKX917545:TKX917546 TUT917545:TUT917546 UEP917545:UEP917546 UOL917545:UOL917546 UYH917545:UYH917546 VID917545:VID917546 VRZ917545:VRZ917546 WBV917545:WBV917546 WLR917545:WLR917546 WVN917545:WVN917546 F983081:F983082 JB983081:JB983082 SX983081:SX983082 ACT983081:ACT983082 AMP983081:AMP983082 AWL983081:AWL983082 BGH983081:BGH983082 BQD983081:BQD983082 BZZ983081:BZZ983082 CJV983081:CJV983082 CTR983081:CTR983082 DDN983081:DDN983082 DNJ983081:DNJ983082 DXF983081:DXF983082 EHB983081:EHB983082 EQX983081:EQX983082 FAT983081:FAT983082 FKP983081:FKP983082 FUL983081:FUL983082 GEH983081:GEH983082 GOD983081:GOD983082 GXZ983081:GXZ983082 HHV983081:HHV983082 HRR983081:HRR983082 IBN983081:IBN983082 ILJ983081:ILJ983082 IVF983081:IVF983082 JFB983081:JFB983082 JOX983081:JOX983082 JYT983081:JYT983082 KIP983081:KIP983082 KSL983081:KSL983082 LCH983081:LCH983082 LMD983081:LMD983082 LVZ983081:LVZ983082 MFV983081:MFV983082 MPR983081:MPR983082 MZN983081:MZN983082 NJJ983081:NJJ983082 NTF983081:NTF983082 ODB983081:ODB983082 OMX983081:OMX983082 OWT983081:OWT983082 PGP983081:PGP983082 PQL983081:PQL983082 QAH983081:QAH983082 QKD983081:QKD983082 QTZ983081:QTZ983082 RDV983081:RDV983082 RNR983081:RNR983082 RXN983081:RXN983082 SHJ983081:SHJ983082 SRF983081:SRF983082 TBB983081:TBB983082 TKX983081:TKX983082 TUT983081:TUT983082 UEP983081:UEP983082 UOL983081:UOL983082 UYH983081:UYH983082 VID983081:VID983082 VRZ983081:VRZ983082 WBV983081:WBV983082 WLR983081:WLR983082">
      <formula1>"Data Retention, Other, None"</formula1>
    </dataValidation>
    <dataValidation type="list" allowBlank="1" showInputMessage="1" showErrorMessage="1" sqref="WBV983052:WBV983061 JB25:JB35 SX25:SX35 ACT25:ACT35 AMP25:AMP35 AWL25:AWL35 BGH25:BGH35 BQD25:BQD35 BZZ25:BZZ35 CJV25:CJV35 CTR25:CTR35 DDN25:DDN35 DNJ25:DNJ35 DXF25:DXF35 EHB25:EHB35 EQX25:EQX35 FAT25:FAT35 FKP25:FKP35 FUL25:FUL35 GEH25:GEH35 GOD25:GOD35 GXZ25:GXZ35 HHV25:HHV35 HRR25:HRR35 IBN25:IBN35 ILJ25:ILJ35 IVF25:IVF35 JFB25:JFB35 JOX25:JOX35 JYT25:JYT35 KIP25:KIP35 KSL25:KSL35 LCH25:LCH35 LMD25:LMD35 LVZ25:LVZ35 MFV25:MFV35 MPR25:MPR35 MZN25:MZN35 NJJ25:NJJ35 NTF25:NTF35 ODB25:ODB35 OMX25:OMX35 OWT25:OWT35 PGP25:PGP35 PQL25:PQL35 QAH25:QAH35 QKD25:QKD35 QTZ25:QTZ35 RDV25:RDV35 RNR25:RNR35 RXN25:RXN35 SHJ25:SHJ35 SRF25:SRF35 TBB25:TBB35 TKX25:TKX35 TUT25:TUT35 UEP25:UEP35 UOL25:UOL35 UYH25:UYH35 VID25:VID35 VRZ25:VRZ35 WBV25:WBV35 WLR25:WLR35 WVN25:WVN35 F65561:F65571 JB65561:JB65571 SX65561:SX65571 ACT65561:ACT65571 AMP65561:AMP65571 AWL65561:AWL65571 BGH65561:BGH65571 BQD65561:BQD65571 BZZ65561:BZZ65571 CJV65561:CJV65571 CTR65561:CTR65571 DDN65561:DDN65571 DNJ65561:DNJ65571 DXF65561:DXF65571 EHB65561:EHB65571 EQX65561:EQX65571 FAT65561:FAT65571 FKP65561:FKP65571 FUL65561:FUL65571 GEH65561:GEH65571 GOD65561:GOD65571 GXZ65561:GXZ65571 HHV65561:HHV65571 HRR65561:HRR65571 IBN65561:IBN65571 ILJ65561:ILJ65571 IVF65561:IVF65571 JFB65561:JFB65571 JOX65561:JOX65571 JYT65561:JYT65571 KIP65561:KIP65571 KSL65561:KSL65571 LCH65561:LCH65571 LMD65561:LMD65571 LVZ65561:LVZ65571 MFV65561:MFV65571 MPR65561:MPR65571 MZN65561:MZN65571 NJJ65561:NJJ65571 NTF65561:NTF65571 ODB65561:ODB65571 OMX65561:OMX65571 OWT65561:OWT65571 PGP65561:PGP65571 PQL65561:PQL65571 QAH65561:QAH65571 QKD65561:QKD65571 QTZ65561:QTZ65571 RDV65561:RDV65571 RNR65561:RNR65571 RXN65561:RXN65571 SHJ65561:SHJ65571 SRF65561:SRF65571 TBB65561:TBB65571 TKX65561:TKX65571 TUT65561:TUT65571 UEP65561:UEP65571 UOL65561:UOL65571 UYH65561:UYH65571 VID65561:VID65571 VRZ65561:VRZ65571 WBV65561:WBV65571 WLR65561:WLR65571 WVN65561:WVN65571 F131097:F131107 JB131097:JB131107 SX131097:SX131107 ACT131097:ACT131107 AMP131097:AMP131107 AWL131097:AWL131107 BGH131097:BGH131107 BQD131097:BQD131107 BZZ131097:BZZ131107 CJV131097:CJV131107 CTR131097:CTR131107 DDN131097:DDN131107 DNJ131097:DNJ131107 DXF131097:DXF131107 EHB131097:EHB131107 EQX131097:EQX131107 FAT131097:FAT131107 FKP131097:FKP131107 FUL131097:FUL131107 GEH131097:GEH131107 GOD131097:GOD131107 GXZ131097:GXZ131107 HHV131097:HHV131107 HRR131097:HRR131107 IBN131097:IBN131107 ILJ131097:ILJ131107 IVF131097:IVF131107 JFB131097:JFB131107 JOX131097:JOX131107 JYT131097:JYT131107 KIP131097:KIP131107 KSL131097:KSL131107 LCH131097:LCH131107 LMD131097:LMD131107 LVZ131097:LVZ131107 MFV131097:MFV131107 MPR131097:MPR131107 MZN131097:MZN131107 NJJ131097:NJJ131107 NTF131097:NTF131107 ODB131097:ODB131107 OMX131097:OMX131107 OWT131097:OWT131107 PGP131097:PGP131107 PQL131097:PQL131107 QAH131097:QAH131107 QKD131097:QKD131107 QTZ131097:QTZ131107 RDV131097:RDV131107 RNR131097:RNR131107 RXN131097:RXN131107 SHJ131097:SHJ131107 SRF131097:SRF131107 TBB131097:TBB131107 TKX131097:TKX131107 TUT131097:TUT131107 UEP131097:UEP131107 UOL131097:UOL131107 UYH131097:UYH131107 VID131097:VID131107 VRZ131097:VRZ131107 WBV131097:WBV131107 WLR131097:WLR131107 WVN131097:WVN131107 F196633:F196643 JB196633:JB196643 SX196633:SX196643 ACT196633:ACT196643 AMP196633:AMP196643 AWL196633:AWL196643 BGH196633:BGH196643 BQD196633:BQD196643 BZZ196633:BZZ196643 CJV196633:CJV196643 CTR196633:CTR196643 DDN196633:DDN196643 DNJ196633:DNJ196643 DXF196633:DXF196643 EHB196633:EHB196643 EQX196633:EQX196643 FAT196633:FAT196643 FKP196633:FKP196643 FUL196633:FUL196643 GEH196633:GEH196643 GOD196633:GOD196643 GXZ196633:GXZ196643 HHV196633:HHV196643 HRR196633:HRR196643 IBN196633:IBN196643 ILJ196633:ILJ196643 IVF196633:IVF196643 JFB196633:JFB196643 JOX196633:JOX196643 JYT196633:JYT196643 KIP196633:KIP196643 KSL196633:KSL196643 LCH196633:LCH196643 LMD196633:LMD196643 LVZ196633:LVZ196643 MFV196633:MFV196643 MPR196633:MPR196643 MZN196633:MZN196643 NJJ196633:NJJ196643 NTF196633:NTF196643 ODB196633:ODB196643 OMX196633:OMX196643 OWT196633:OWT196643 PGP196633:PGP196643 PQL196633:PQL196643 QAH196633:QAH196643 QKD196633:QKD196643 QTZ196633:QTZ196643 RDV196633:RDV196643 RNR196633:RNR196643 RXN196633:RXN196643 SHJ196633:SHJ196643 SRF196633:SRF196643 TBB196633:TBB196643 TKX196633:TKX196643 TUT196633:TUT196643 UEP196633:UEP196643 UOL196633:UOL196643 UYH196633:UYH196643 VID196633:VID196643 VRZ196633:VRZ196643 WBV196633:WBV196643 WLR196633:WLR196643 WVN196633:WVN196643 F262169:F262179 JB262169:JB262179 SX262169:SX262179 ACT262169:ACT262179 AMP262169:AMP262179 AWL262169:AWL262179 BGH262169:BGH262179 BQD262169:BQD262179 BZZ262169:BZZ262179 CJV262169:CJV262179 CTR262169:CTR262179 DDN262169:DDN262179 DNJ262169:DNJ262179 DXF262169:DXF262179 EHB262169:EHB262179 EQX262169:EQX262179 FAT262169:FAT262179 FKP262169:FKP262179 FUL262169:FUL262179 GEH262169:GEH262179 GOD262169:GOD262179 GXZ262169:GXZ262179 HHV262169:HHV262179 HRR262169:HRR262179 IBN262169:IBN262179 ILJ262169:ILJ262179 IVF262169:IVF262179 JFB262169:JFB262179 JOX262169:JOX262179 JYT262169:JYT262179 KIP262169:KIP262179 KSL262169:KSL262179 LCH262169:LCH262179 LMD262169:LMD262179 LVZ262169:LVZ262179 MFV262169:MFV262179 MPR262169:MPR262179 MZN262169:MZN262179 NJJ262169:NJJ262179 NTF262169:NTF262179 ODB262169:ODB262179 OMX262169:OMX262179 OWT262169:OWT262179 PGP262169:PGP262179 PQL262169:PQL262179 QAH262169:QAH262179 QKD262169:QKD262179 QTZ262169:QTZ262179 RDV262169:RDV262179 RNR262169:RNR262179 RXN262169:RXN262179 SHJ262169:SHJ262179 SRF262169:SRF262179 TBB262169:TBB262179 TKX262169:TKX262179 TUT262169:TUT262179 UEP262169:UEP262179 UOL262169:UOL262179 UYH262169:UYH262179 VID262169:VID262179 VRZ262169:VRZ262179 WBV262169:WBV262179 WLR262169:WLR262179 WVN262169:WVN262179 F327705:F327715 JB327705:JB327715 SX327705:SX327715 ACT327705:ACT327715 AMP327705:AMP327715 AWL327705:AWL327715 BGH327705:BGH327715 BQD327705:BQD327715 BZZ327705:BZZ327715 CJV327705:CJV327715 CTR327705:CTR327715 DDN327705:DDN327715 DNJ327705:DNJ327715 DXF327705:DXF327715 EHB327705:EHB327715 EQX327705:EQX327715 FAT327705:FAT327715 FKP327705:FKP327715 FUL327705:FUL327715 GEH327705:GEH327715 GOD327705:GOD327715 GXZ327705:GXZ327715 HHV327705:HHV327715 HRR327705:HRR327715 IBN327705:IBN327715 ILJ327705:ILJ327715 IVF327705:IVF327715 JFB327705:JFB327715 JOX327705:JOX327715 JYT327705:JYT327715 KIP327705:KIP327715 KSL327705:KSL327715 LCH327705:LCH327715 LMD327705:LMD327715 LVZ327705:LVZ327715 MFV327705:MFV327715 MPR327705:MPR327715 MZN327705:MZN327715 NJJ327705:NJJ327715 NTF327705:NTF327715 ODB327705:ODB327715 OMX327705:OMX327715 OWT327705:OWT327715 PGP327705:PGP327715 PQL327705:PQL327715 QAH327705:QAH327715 QKD327705:QKD327715 QTZ327705:QTZ327715 RDV327705:RDV327715 RNR327705:RNR327715 RXN327705:RXN327715 SHJ327705:SHJ327715 SRF327705:SRF327715 TBB327705:TBB327715 TKX327705:TKX327715 TUT327705:TUT327715 UEP327705:UEP327715 UOL327705:UOL327715 UYH327705:UYH327715 VID327705:VID327715 VRZ327705:VRZ327715 WBV327705:WBV327715 WLR327705:WLR327715 WVN327705:WVN327715 F393241:F393251 JB393241:JB393251 SX393241:SX393251 ACT393241:ACT393251 AMP393241:AMP393251 AWL393241:AWL393251 BGH393241:BGH393251 BQD393241:BQD393251 BZZ393241:BZZ393251 CJV393241:CJV393251 CTR393241:CTR393251 DDN393241:DDN393251 DNJ393241:DNJ393251 DXF393241:DXF393251 EHB393241:EHB393251 EQX393241:EQX393251 FAT393241:FAT393251 FKP393241:FKP393251 FUL393241:FUL393251 GEH393241:GEH393251 GOD393241:GOD393251 GXZ393241:GXZ393251 HHV393241:HHV393251 HRR393241:HRR393251 IBN393241:IBN393251 ILJ393241:ILJ393251 IVF393241:IVF393251 JFB393241:JFB393251 JOX393241:JOX393251 JYT393241:JYT393251 KIP393241:KIP393251 KSL393241:KSL393251 LCH393241:LCH393251 LMD393241:LMD393251 LVZ393241:LVZ393251 MFV393241:MFV393251 MPR393241:MPR393251 MZN393241:MZN393251 NJJ393241:NJJ393251 NTF393241:NTF393251 ODB393241:ODB393251 OMX393241:OMX393251 OWT393241:OWT393251 PGP393241:PGP393251 PQL393241:PQL393251 QAH393241:QAH393251 QKD393241:QKD393251 QTZ393241:QTZ393251 RDV393241:RDV393251 RNR393241:RNR393251 RXN393241:RXN393251 SHJ393241:SHJ393251 SRF393241:SRF393251 TBB393241:TBB393251 TKX393241:TKX393251 TUT393241:TUT393251 UEP393241:UEP393251 UOL393241:UOL393251 UYH393241:UYH393251 VID393241:VID393251 VRZ393241:VRZ393251 WBV393241:WBV393251 WLR393241:WLR393251 WVN393241:WVN393251 F458777:F458787 JB458777:JB458787 SX458777:SX458787 ACT458777:ACT458787 AMP458777:AMP458787 AWL458777:AWL458787 BGH458777:BGH458787 BQD458777:BQD458787 BZZ458777:BZZ458787 CJV458777:CJV458787 CTR458777:CTR458787 DDN458777:DDN458787 DNJ458777:DNJ458787 DXF458777:DXF458787 EHB458777:EHB458787 EQX458777:EQX458787 FAT458777:FAT458787 FKP458777:FKP458787 FUL458777:FUL458787 GEH458777:GEH458787 GOD458777:GOD458787 GXZ458777:GXZ458787 HHV458777:HHV458787 HRR458777:HRR458787 IBN458777:IBN458787 ILJ458777:ILJ458787 IVF458777:IVF458787 JFB458777:JFB458787 JOX458777:JOX458787 JYT458777:JYT458787 KIP458777:KIP458787 KSL458777:KSL458787 LCH458777:LCH458787 LMD458777:LMD458787 LVZ458777:LVZ458787 MFV458777:MFV458787 MPR458777:MPR458787 MZN458777:MZN458787 NJJ458777:NJJ458787 NTF458777:NTF458787 ODB458777:ODB458787 OMX458777:OMX458787 OWT458777:OWT458787 PGP458777:PGP458787 PQL458777:PQL458787 QAH458777:QAH458787 QKD458777:QKD458787 QTZ458777:QTZ458787 RDV458777:RDV458787 RNR458777:RNR458787 RXN458777:RXN458787 SHJ458777:SHJ458787 SRF458777:SRF458787 TBB458777:TBB458787 TKX458777:TKX458787 TUT458777:TUT458787 UEP458777:UEP458787 UOL458777:UOL458787 UYH458777:UYH458787 VID458777:VID458787 VRZ458777:VRZ458787 WBV458777:WBV458787 WLR458777:WLR458787 WVN458777:WVN458787 F524313:F524323 JB524313:JB524323 SX524313:SX524323 ACT524313:ACT524323 AMP524313:AMP524323 AWL524313:AWL524323 BGH524313:BGH524323 BQD524313:BQD524323 BZZ524313:BZZ524323 CJV524313:CJV524323 CTR524313:CTR524323 DDN524313:DDN524323 DNJ524313:DNJ524323 DXF524313:DXF524323 EHB524313:EHB524323 EQX524313:EQX524323 FAT524313:FAT524323 FKP524313:FKP524323 FUL524313:FUL524323 GEH524313:GEH524323 GOD524313:GOD524323 GXZ524313:GXZ524323 HHV524313:HHV524323 HRR524313:HRR524323 IBN524313:IBN524323 ILJ524313:ILJ524323 IVF524313:IVF524323 JFB524313:JFB524323 JOX524313:JOX524323 JYT524313:JYT524323 KIP524313:KIP524323 KSL524313:KSL524323 LCH524313:LCH524323 LMD524313:LMD524323 LVZ524313:LVZ524323 MFV524313:MFV524323 MPR524313:MPR524323 MZN524313:MZN524323 NJJ524313:NJJ524323 NTF524313:NTF524323 ODB524313:ODB524323 OMX524313:OMX524323 OWT524313:OWT524323 PGP524313:PGP524323 PQL524313:PQL524323 QAH524313:QAH524323 QKD524313:QKD524323 QTZ524313:QTZ524323 RDV524313:RDV524323 RNR524313:RNR524323 RXN524313:RXN524323 SHJ524313:SHJ524323 SRF524313:SRF524323 TBB524313:TBB524323 TKX524313:TKX524323 TUT524313:TUT524323 UEP524313:UEP524323 UOL524313:UOL524323 UYH524313:UYH524323 VID524313:VID524323 VRZ524313:VRZ524323 WBV524313:WBV524323 WLR524313:WLR524323 WVN524313:WVN524323 F589849:F589859 JB589849:JB589859 SX589849:SX589859 ACT589849:ACT589859 AMP589849:AMP589859 AWL589849:AWL589859 BGH589849:BGH589859 BQD589849:BQD589859 BZZ589849:BZZ589859 CJV589849:CJV589859 CTR589849:CTR589859 DDN589849:DDN589859 DNJ589849:DNJ589859 DXF589849:DXF589859 EHB589849:EHB589859 EQX589849:EQX589859 FAT589849:FAT589859 FKP589849:FKP589859 FUL589849:FUL589859 GEH589849:GEH589859 GOD589849:GOD589859 GXZ589849:GXZ589859 HHV589849:HHV589859 HRR589849:HRR589859 IBN589849:IBN589859 ILJ589849:ILJ589859 IVF589849:IVF589859 JFB589849:JFB589859 JOX589849:JOX589859 JYT589849:JYT589859 KIP589849:KIP589859 KSL589849:KSL589859 LCH589849:LCH589859 LMD589849:LMD589859 LVZ589849:LVZ589859 MFV589849:MFV589859 MPR589849:MPR589859 MZN589849:MZN589859 NJJ589849:NJJ589859 NTF589849:NTF589859 ODB589849:ODB589859 OMX589849:OMX589859 OWT589849:OWT589859 PGP589849:PGP589859 PQL589849:PQL589859 QAH589849:QAH589859 QKD589849:QKD589859 QTZ589849:QTZ589859 RDV589849:RDV589859 RNR589849:RNR589859 RXN589849:RXN589859 SHJ589849:SHJ589859 SRF589849:SRF589859 TBB589849:TBB589859 TKX589849:TKX589859 TUT589849:TUT589859 UEP589849:UEP589859 UOL589849:UOL589859 UYH589849:UYH589859 VID589849:VID589859 VRZ589849:VRZ589859 WBV589849:WBV589859 WLR589849:WLR589859 WVN589849:WVN589859 F655385:F655395 JB655385:JB655395 SX655385:SX655395 ACT655385:ACT655395 AMP655385:AMP655395 AWL655385:AWL655395 BGH655385:BGH655395 BQD655385:BQD655395 BZZ655385:BZZ655395 CJV655385:CJV655395 CTR655385:CTR655395 DDN655385:DDN655395 DNJ655385:DNJ655395 DXF655385:DXF655395 EHB655385:EHB655395 EQX655385:EQX655395 FAT655385:FAT655395 FKP655385:FKP655395 FUL655385:FUL655395 GEH655385:GEH655395 GOD655385:GOD655395 GXZ655385:GXZ655395 HHV655385:HHV655395 HRR655385:HRR655395 IBN655385:IBN655395 ILJ655385:ILJ655395 IVF655385:IVF655395 JFB655385:JFB655395 JOX655385:JOX655395 JYT655385:JYT655395 KIP655385:KIP655395 KSL655385:KSL655395 LCH655385:LCH655395 LMD655385:LMD655395 LVZ655385:LVZ655395 MFV655385:MFV655395 MPR655385:MPR655395 MZN655385:MZN655395 NJJ655385:NJJ655395 NTF655385:NTF655395 ODB655385:ODB655395 OMX655385:OMX655395 OWT655385:OWT655395 PGP655385:PGP655395 PQL655385:PQL655395 QAH655385:QAH655395 QKD655385:QKD655395 QTZ655385:QTZ655395 RDV655385:RDV655395 RNR655385:RNR655395 RXN655385:RXN655395 SHJ655385:SHJ655395 SRF655385:SRF655395 TBB655385:TBB655395 TKX655385:TKX655395 TUT655385:TUT655395 UEP655385:UEP655395 UOL655385:UOL655395 UYH655385:UYH655395 VID655385:VID655395 VRZ655385:VRZ655395 WBV655385:WBV655395 WLR655385:WLR655395 WVN655385:WVN655395 F720921:F720931 JB720921:JB720931 SX720921:SX720931 ACT720921:ACT720931 AMP720921:AMP720931 AWL720921:AWL720931 BGH720921:BGH720931 BQD720921:BQD720931 BZZ720921:BZZ720931 CJV720921:CJV720931 CTR720921:CTR720931 DDN720921:DDN720931 DNJ720921:DNJ720931 DXF720921:DXF720931 EHB720921:EHB720931 EQX720921:EQX720931 FAT720921:FAT720931 FKP720921:FKP720931 FUL720921:FUL720931 GEH720921:GEH720931 GOD720921:GOD720931 GXZ720921:GXZ720931 HHV720921:HHV720931 HRR720921:HRR720931 IBN720921:IBN720931 ILJ720921:ILJ720931 IVF720921:IVF720931 JFB720921:JFB720931 JOX720921:JOX720931 JYT720921:JYT720931 KIP720921:KIP720931 KSL720921:KSL720931 LCH720921:LCH720931 LMD720921:LMD720931 LVZ720921:LVZ720931 MFV720921:MFV720931 MPR720921:MPR720931 MZN720921:MZN720931 NJJ720921:NJJ720931 NTF720921:NTF720931 ODB720921:ODB720931 OMX720921:OMX720931 OWT720921:OWT720931 PGP720921:PGP720931 PQL720921:PQL720931 QAH720921:QAH720931 QKD720921:QKD720931 QTZ720921:QTZ720931 RDV720921:RDV720931 RNR720921:RNR720931 RXN720921:RXN720931 SHJ720921:SHJ720931 SRF720921:SRF720931 TBB720921:TBB720931 TKX720921:TKX720931 TUT720921:TUT720931 UEP720921:UEP720931 UOL720921:UOL720931 UYH720921:UYH720931 VID720921:VID720931 VRZ720921:VRZ720931 WBV720921:WBV720931 WLR720921:WLR720931 WVN720921:WVN720931 F786457:F786467 JB786457:JB786467 SX786457:SX786467 ACT786457:ACT786467 AMP786457:AMP786467 AWL786457:AWL786467 BGH786457:BGH786467 BQD786457:BQD786467 BZZ786457:BZZ786467 CJV786457:CJV786467 CTR786457:CTR786467 DDN786457:DDN786467 DNJ786457:DNJ786467 DXF786457:DXF786467 EHB786457:EHB786467 EQX786457:EQX786467 FAT786457:FAT786467 FKP786457:FKP786467 FUL786457:FUL786467 GEH786457:GEH786467 GOD786457:GOD786467 GXZ786457:GXZ786467 HHV786457:HHV786467 HRR786457:HRR786467 IBN786457:IBN786467 ILJ786457:ILJ786467 IVF786457:IVF786467 JFB786457:JFB786467 JOX786457:JOX786467 JYT786457:JYT786467 KIP786457:KIP786467 KSL786457:KSL786467 LCH786457:LCH786467 LMD786457:LMD786467 LVZ786457:LVZ786467 MFV786457:MFV786467 MPR786457:MPR786467 MZN786457:MZN786467 NJJ786457:NJJ786467 NTF786457:NTF786467 ODB786457:ODB786467 OMX786457:OMX786467 OWT786457:OWT786467 PGP786457:PGP786467 PQL786457:PQL786467 QAH786457:QAH786467 QKD786457:QKD786467 QTZ786457:QTZ786467 RDV786457:RDV786467 RNR786457:RNR786467 RXN786457:RXN786467 SHJ786457:SHJ786467 SRF786457:SRF786467 TBB786457:TBB786467 TKX786457:TKX786467 TUT786457:TUT786467 UEP786457:UEP786467 UOL786457:UOL786467 UYH786457:UYH786467 VID786457:VID786467 VRZ786457:VRZ786467 WBV786457:WBV786467 WLR786457:WLR786467 WVN786457:WVN786467 F851993:F852003 JB851993:JB852003 SX851993:SX852003 ACT851993:ACT852003 AMP851993:AMP852003 AWL851993:AWL852003 BGH851993:BGH852003 BQD851993:BQD852003 BZZ851993:BZZ852003 CJV851993:CJV852003 CTR851993:CTR852003 DDN851993:DDN852003 DNJ851993:DNJ852003 DXF851993:DXF852003 EHB851993:EHB852003 EQX851993:EQX852003 FAT851993:FAT852003 FKP851993:FKP852003 FUL851993:FUL852003 GEH851993:GEH852003 GOD851993:GOD852003 GXZ851993:GXZ852003 HHV851993:HHV852003 HRR851993:HRR852003 IBN851993:IBN852003 ILJ851993:ILJ852003 IVF851993:IVF852003 JFB851993:JFB852003 JOX851993:JOX852003 JYT851993:JYT852003 KIP851993:KIP852003 KSL851993:KSL852003 LCH851993:LCH852003 LMD851993:LMD852003 LVZ851993:LVZ852003 MFV851993:MFV852003 MPR851993:MPR852003 MZN851993:MZN852003 NJJ851993:NJJ852003 NTF851993:NTF852003 ODB851993:ODB852003 OMX851993:OMX852003 OWT851993:OWT852003 PGP851993:PGP852003 PQL851993:PQL852003 QAH851993:QAH852003 QKD851993:QKD852003 QTZ851993:QTZ852003 RDV851993:RDV852003 RNR851993:RNR852003 RXN851993:RXN852003 SHJ851993:SHJ852003 SRF851993:SRF852003 TBB851993:TBB852003 TKX851993:TKX852003 TUT851993:TUT852003 UEP851993:UEP852003 UOL851993:UOL852003 UYH851993:UYH852003 VID851993:VID852003 VRZ851993:VRZ852003 WBV851993:WBV852003 WLR851993:WLR852003 WVN851993:WVN852003 F917529:F917539 JB917529:JB917539 SX917529:SX917539 ACT917529:ACT917539 AMP917529:AMP917539 AWL917529:AWL917539 BGH917529:BGH917539 BQD917529:BQD917539 BZZ917529:BZZ917539 CJV917529:CJV917539 CTR917529:CTR917539 DDN917529:DDN917539 DNJ917529:DNJ917539 DXF917529:DXF917539 EHB917529:EHB917539 EQX917529:EQX917539 FAT917529:FAT917539 FKP917529:FKP917539 FUL917529:FUL917539 GEH917529:GEH917539 GOD917529:GOD917539 GXZ917529:GXZ917539 HHV917529:HHV917539 HRR917529:HRR917539 IBN917529:IBN917539 ILJ917529:ILJ917539 IVF917529:IVF917539 JFB917529:JFB917539 JOX917529:JOX917539 JYT917529:JYT917539 KIP917529:KIP917539 KSL917529:KSL917539 LCH917529:LCH917539 LMD917529:LMD917539 LVZ917529:LVZ917539 MFV917529:MFV917539 MPR917529:MPR917539 MZN917529:MZN917539 NJJ917529:NJJ917539 NTF917529:NTF917539 ODB917529:ODB917539 OMX917529:OMX917539 OWT917529:OWT917539 PGP917529:PGP917539 PQL917529:PQL917539 QAH917529:QAH917539 QKD917529:QKD917539 QTZ917529:QTZ917539 RDV917529:RDV917539 RNR917529:RNR917539 RXN917529:RXN917539 SHJ917529:SHJ917539 SRF917529:SRF917539 TBB917529:TBB917539 TKX917529:TKX917539 TUT917529:TUT917539 UEP917529:UEP917539 UOL917529:UOL917539 UYH917529:UYH917539 VID917529:VID917539 VRZ917529:VRZ917539 WBV917529:WBV917539 WLR917529:WLR917539 WVN917529:WVN917539 F983065:F983075 JB983065:JB983075 SX983065:SX983075 ACT983065:ACT983075 AMP983065:AMP983075 AWL983065:AWL983075 BGH983065:BGH983075 BQD983065:BQD983075 BZZ983065:BZZ983075 CJV983065:CJV983075 CTR983065:CTR983075 DDN983065:DDN983075 DNJ983065:DNJ983075 DXF983065:DXF983075 EHB983065:EHB983075 EQX983065:EQX983075 FAT983065:FAT983075 FKP983065:FKP983075 FUL983065:FUL983075 GEH983065:GEH983075 GOD983065:GOD983075 GXZ983065:GXZ983075 HHV983065:HHV983075 HRR983065:HRR983075 IBN983065:IBN983075 ILJ983065:ILJ983075 IVF983065:IVF983075 JFB983065:JFB983075 JOX983065:JOX983075 JYT983065:JYT983075 KIP983065:KIP983075 KSL983065:KSL983075 LCH983065:LCH983075 LMD983065:LMD983075 LVZ983065:LVZ983075 MFV983065:MFV983075 MPR983065:MPR983075 MZN983065:MZN983075 NJJ983065:NJJ983075 NTF983065:NTF983075 ODB983065:ODB983075 OMX983065:OMX983075 OWT983065:OWT983075 PGP983065:PGP983075 PQL983065:PQL983075 QAH983065:QAH983075 QKD983065:QKD983075 QTZ983065:QTZ983075 RDV983065:RDV983075 RNR983065:RNR983075 RXN983065:RXN983075 SHJ983065:SHJ983075 SRF983065:SRF983075 TBB983065:TBB983075 TKX983065:TKX983075 TUT983065:TUT983075 UEP983065:UEP983075 UOL983065:UOL983075 UYH983065:UYH983075 VID983065:VID983075 VRZ983065:VRZ983075 WBV983065:WBV983075 WLR983065:WLR983075 WVN983065:WVN983075 VRZ983052:VRZ983061 JB48:JB50 SX48:SX50 ACT48:ACT50 AMP48:AMP50 AWL48:AWL50 BGH48:BGH50 BQD48:BQD50 BZZ48:BZZ50 CJV48:CJV50 CTR48:CTR50 DDN48:DDN50 DNJ48:DNJ50 DXF48:DXF50 EHB48:EHB50 EQX48:EQX50 FAT48:FAT50 FKP48:FKP50 FUL48:FUL50 GEH48:GEH50 GOD48:GOD50 GXZ48:GXZ50 HHV48:HHV50 HRR48:HRR50 IBN48:IBN50 ILJ48:ILJ50 IVF48:IVF50 JFB48:JFB50 JOX48:JOX50 JYT48:JYT50 KIP48:KIP50 KSL48:KSL50 LCH48:LCH50 LMD48:LMD50 LVZ48:LVZ50 MFV48:MFV50 MPR48:MPR50 MZN48:MZN50 NJJ48:NJJ50 NTF48:NTF50 ODB48:ODB50 OMX48:OMX50 OWT48:OWT50 PGP48:PGP50 PQL48:PQL50 QAH48:QAH50 QKD48:QKD50 QTZ48:QTZ50 RDV48:RDV50 RNR48:RNR50 RXN48:RXN50 SHJ48:SHJ50 SRF48:SRF50 TBB48:TBB50 TKX48:TKX50 TUT48:TUT50 UEP48:UEP50 UOL48:UOL50 UYH48:UYH50 VID48:VID50 VRZ48:VRZ50 WBV48:WBV50 WLR48:WLR50 WVN48:WVN50 F65584:F65586 JB65584:JB65586 SX65584:SX65586 ACT65584:ACT65586 AMP65584:AMP65586 AWL65584:AWL65586 BGH65584:BGH65586 BQD65584:BQD65586 BZZ65584:BZZ65586 CJV65584:CJV65586 CTR65584:CTR65586 DDN65584:DDN65586 DNJ65584:DNJ65586 DXF65584:DXF65586 EHB65584:EHB65586 EQX65584:EQX65586 FAT65584:FAT65586 FKP65584:FKP65586 FUL65584:FUL65586 GEH65584:GEH65586 GOD65584:GOD65586 GXZ65584:GXZ65586 HHV65584:HHV65586 HRR65584:HRR65586 IBN65584:IBN65586 ILJ65584:ILJ65586 IVF65584:IVF65586 JFB65584:JFB65586 JOX65584:JOX65586 JYT65584:JYT65586 KIP65584:KIP65586 KSL65584:KSL65586 LCH65584:LCH65586 LMD65584:LMD65586 LVZ65584:LVZ65586 MFV65584:MFV65586 MPR65584:MPR65586 MZN65584:MZN65586 NJJ65584:NJJ65586 NTF65584:NTF65586 ODB65584:ODB65586 OMX65584:OMX65586 OWT65584:OWT65586 PGP65584:PGP65586 PQL65584:PQL65586 QAH65584:QAH65586 QKD65584:QKD65586 QTZ65584:QTZ65586 RDV65584:RDV65586 RNR65584:RNR65586 RXN65584:RXN65586 SHJ65584:SHJ65586 SRF65584:SRF65586 TBB65584:TBB65586 TKX65584:TKX65586 TUT65584:TUT65586 UEP65584:UEP65586 UOL65584:UOL65586 UYH65584:UYH65586 VID65584:VID65586 VRZ65584:VRZ65586 WBV65584:WBV65586 WLR65584:WLR65586 WVN65584:WVN65586 F131120:F131122 JB131120:JB131122 SX131120:SX131122 ACT131120:ACT131122 AMP131120:AMP131122 AWL131120:AWL131122 BGH131120:BGH131122 BQD131120:BQD131122 BZZ131120:BZZ131122 CJV131120:CJV131122 CTR131120:CTR131122 DDN131120:DDN131122 DNJ131120:DNJ131122 DXF131120:DXF131122 EHB131120:EHB131122 EQX131120:EQX131122 FAT131120:FAT131122 FKP131120:FKP131122 FUL131120:FUL131122 GEH131120:GEH131122 GOD131120:GOD131122 GXZ131120:GXZ131122 HHV131120:HHV131122 HRR131120:HRR131122 IBN131120:IBN131122 ILJ131120:ILJ131122 IVF131120:IVF131122 JFB131120:JFB131122 JOX131120:JOX131122 JYT131120:JYT131122 KIP131120:KIP131122 KSL131120:KSL131122 LCH131120:LCH131122 LMD131120:LMD131122 LVZ131120:LVZ131122 MFV131120:MFV131122 MPR131120:MPR131122 MZN131120:MZN131122 NJJ131120:NJJ131122 NTF131120:NTF131122 ODB131120:ODB131122 OMX131120:OMX131122 OWT131120:OWT131122 PGP131120:PGP131122 PQL131120:PQL131122 QAH131120:QAH131122 QKD131120:QKD131122 QTZ131120:QTZ131122 RDV131120:RDV131122 RNR131120:RNR131122 RXN131120:RXN131122 SHJ131120:SHJ131122 SRF131120:SRF131122 TBB131120:TBB131122 TKX131120:TKX131122 TUT131120:TUT131122 UEP131120:UEP131122 UOL131120:UOL131122 UYH131120:UYH131122 VID131120:VID131122 VRZ131120:VRZ131122 WBV131120:WBV131122 WLR131120:WLR131122 WVN131120:WVN131122 F196656:F196658 JB196656:JB196658 SX196656:SX196658 ACT196656:ACT196658 AMP196656:AMP196658 AWL196656:AWL196658 BGH196656:BGH196658 BQD196656:BQD196658 BZZ196656:BZZ196658 CJV196656:CJV196658 CTR196656:CTR196658 DDN196656:DDN196658 DNJ196656:DNJ196658 DXF196656:DXF196658 EHB196656:EHB196658 EQX196656:EQX196658 FAT196656:FAT196658 FKP196656:FKP196658 FUL196656:FUL196658 GEH196656:GEH196658 GOD196656:GOD196658 GXZ196656:GXZ196658 HHV196656:HHV196658 HRR196656:HRR196658 IBN196656:IBN196658 ILJ196656:ILJ196658 IVF196656:IVF196658 JFB196656:JFB196658 JOX196656:JOX196658 JYT196656:JYT196658 KIP196656:KIP196658 KSL196656:KSL196658 LCH196656:LCH196658 LMD196656:LMD196658 LVZ196656:LVZ196658 MFV196656:MFV196658 MPR196656:MPR196658 MZN196656:MZN196658 NJJ196656:NJJ196658 NTF196656:NTF196658 ODB196656:ODB196658 OMX196656:OMX196658 OWT196656:OWT196658 PGP196656:PGP196658 PQL196656:PQL196658 QAH196656:QAH196658 QKD196656:QKD196658 QTZ196656:QTZ196658 RDV196656:RDV196658 RNR196656:RNR196658 RXN196656:RXN196658 SHJ196656:SHJ196658 SRF196656:SRF196658 TBB196656:TBB196658 TKX196656:TKX196658 TUT196656:TUT196658 UEP196656:UEP196658 UOL196656:UOL196658 UYH196656:UYH196658 VID196656:VID196658 VRZ196656:VRZ196658 WBV196656:WBV196658 WLR196656:WLR196658 WVN196656:WVN196658 F262192:F262194 JB262192:JB262194 SX262192:SX262194 ACT262192:ACT262194 AMP262192:AMP262194 AWL262192:AWL262194 BGH262192:BGH262194 BQD262192:BQD262194 BZZ262192:BZZ262194 CJV262192:CJV262194 CTR262192:CTR262194 DDN262192:DDN262194 DNJ262192:DNJ262194 DXF262192:DXF262194 EHB262192:EHB262194 EQX262192:EQX262194 FAT262192:FAT262194 FKP262192:FKP262194 FUL262192:FUL262194 GEH262192:GEH262194 GOD262192:GOD262194 GXZ262192:GXZ262194 HHV262192:HHV262194 HRR262192:HRR262194 IBN262192:IBN262194 ILJ262192:ILJ262194 IVF262192:IVF262194 JFB262192:JFB262194 JOX262192:JOX262194 JYT262192:JYT262194 KIP262192:KIP262194 KSL262192:KSL262194 LCH262192:LCH262194 LMD262192:LMD262194 LVZ262192:LVZ262194 MFV262192:MFV262194 MPR262192:MPR262194 MZN262192:MZN262194 NJJ262192:NJJ262194 NTF262192:NTF262194 ODB262192:ODB262194 OMX262192:OMX262194 OWT262192:OWT262194 PGP262192:PGP262194 PQL262192:PQL262194 QAH262192:QAH262194 QKD262192:QKD262194 QTZ262192:QTZ262194 RDV262192:RDV262194 RNR262192:RNR262194 RXN262192:RXN262194 SHJ262192:SHJ262194 SRF262192:SRF262194 TBB262192:TBB262194 TKX262192:TKX262194 TUT262192:TUT262194 UEP262192:UEP262194 UOL262192:UOL262194 UYH262192:UYH262194 VID262192:VID262194 VRZ262192:VRZ262194 WBV262192:WBV262194 WLR262192:WLR262194 WVN262192:WVN262194 F327728:F327730 JB327728:JB327730 SX327728:SX327730 ACT327728:ACT327730 AMP327728:AMP327730 AWL327728:AWL327730 BGH327728:BGH327730 BQD327728:BQD327730 BZZ327728:BZZ327730 CJV327728:CJV327730 CTR327728:CTR327730 DDN327728:DDN327730 DNJ327728:DNJ327730 DXF327728:DXF327730 EHB327728:EHB327730 EQX327728:EQX327730 FAT327728:FAT327730 FKP327728:FKP327730 FUL327728:FUL327730 GEH327728:GEH327730 GOD327728:GOD327730 GXZ327728:GXZ327730 HHV327728:HHV327730 HRR327728:HRR327730 IBN327728:IBN327730 ILJ327728:ILJ327730 IVF327728:IVF327730 JFB327728:JFB327730 JOX327728:JOX327730 JYT327728:JYT327730 KIP327728:KIP327730 KSL327728:KSL327730 LCH327728:LCH327730 LMD327728:LMD327730 LVZ327728:LVZ327730 MFV327728:MFV327730 MPR327728:MPR327730 MZN327728:MZN327730 NJJ327728:NJJ327730 NTF327728:NTF327730 ODB327728:ODB327730 OMX327728:OMX327730 OWT327728:OWT327730 PGP327728:PGP327730 PQL327728:PQL327730 QAH327728:QAH327730 QKD327728:QKD327730 QTZ327728:QTZ327730 RDV327728:RDV327730 RNR327728:RNR327730 RXN327728:RXN327730 SHJ327728:SHJ327730 SRF327728:SRF327730 TBB327728:TBB327730 TKX327728:TKX327730 TUT327728:TUT327730 UEP327728:UEP327730 UOL327728:UOL327730 UYH327728:UYH327730 VID327728:VID327730 VRZ327728:VRZ327730 WBV327728:WBV327730 WLR327728:WLR327730 WVN327728:WVN327730 F393264:F393266 JB393264:JB393266 SX393264:SX393266 ACT393264:ACT393266 AMP393264:AMP393266 AWL393264:AWL393266 BGH393264:BGH393266 BQD393264:BQD393266 BZZ393264:BZZ393266 CJV393264:CJV393266 CTR393264:CTR393266 DDN393264:DDN393266 DNJ393264:DNJ393266 DXF393264:DXF393266 EHB393264:EHB393266 EQX393264:EQX393266 FAT393264:FAT393266 FKP393264:FKP393266 FUL393264:FUL393266 GEH393264:GEH393266 GOD393264:GOD393266 GXZ393264:GXZ393266 HHV393264:HHV393266 HRR393264:HRR393266 IBN393264:IBN393266 ILJ393264:ILJ393266 IVF393264:IVF393266 JFB393264:JFB393266 JOX393264:JOX393266 JYT393264:JYT393266 KIP393264:KIP393266 KSL393264:KSL393266 LCH393264:LCH393266 LMD393264:LMD393266 LVZ393264:LVZ393266 MFV393264:MFV393266 MPR393264:MPR393266 MZN393264:MZN393266 NJJ393264:NJJ393266 NTF393264:NTF393266 ODB393264:ODB393266 OMX393264:OMX393266 OWT393264:OWT393266 PGP393264:PGP393266 PQL393264:PQL393266 QAH393264:QAH393266 QKD393264:QKD393266 QTZ393264:QTZ393266 RDV393264:RDV393266 RNR393264:RNR393266 RXN393264:RXN393266 SHJ393264:SHJ393266 SRF393264:SRF393266 TBB393264:TBB393266 TKX393264:TKX393266 TUT393264:TUT393266 UEP393264:UEP393266 UOL393264:UOL393266 UYH393264:UYH393266 VID393264:VID393266 VRZ393264:VRZ393266 WBV393264:WBV393266 WLR393264:WLR393266 WVN393264:WVN393266 F458800:F458802 JB458800:JB458802 SX458800:SX458802 ACT458800:ACT458802 AMP458800:AMP458802 AWL458800:AWL458802 BGH458800:BGH458802 BQD458800:BQD458802 BZZ458800:BZZ458802 CJV458800:CJV458802 CTR458800:CTR458802 DDN458800:DDN458802 DNJ458800:DNJ458802 DXF458800:DXF458802 EHB458800:EHB458802 EQX458800:EQX458802 FAT458800:FAT458802 FKP458800:FKP458802 FUL458800:FUL458802 GEH458800:GEH458802 GOD458800:GOD458802 GXZ458800:GXZ458802 HHV458800:HHV458802 HRR458800:HRR458802 IBN458800:IBN458802 ILJ458800:ILJ458802 IVF458800:IVF458802 JFB458800:JFB458802 JOX458800:JOX458802 JYT458800:JYT458802 KIP458800:KIP458802 KSL458800:KSL458802 LCH458800:LCH458802 LMD458800:LMD458802 LVZ458800:LVZ458802 MFV458800:MFV458802 MPR458800:MPR458802 MZN458800:MZN458802 NJJ458800:NJJ458802 NTF458800:NTF458802 ODB458800:ODB458802 OMX458800:OMX458802 OWT458800:OWT458802 PGP458800:PGP458802 PQL458800:PQL458802 QAH458800:QAH458802 QKD458800:QKD458802 QTZ458800:QTZ458802 RDV458800:RDV458802 RNR458800:RNR458802 RXN458800:RXN458802 SHJ458800:SHJ458802 SRF458800:SRF458802 TBB458800:TBB458802 TKX458800:TKX458802 TUT458800:TUT458802 UEP458800:UEP458802 UOL458800:UOL458802 UYH458800:UYH458802 VID458800:VID458802 VRZ458800:VRZ458802 WBV458800:WBV458802 WLR458800:WLR458802 WVN458800:WVN458802 F524336:F524338 JB524336:JB524338 SX524336:SX524338 ACT524336:ACT524338 AMP524336:AMP524338 AWL524336:AWL524338 BGH524336:BGH524338 BQD524336:BQD524338 BZZ524336:BZZ524338 CJV524336:CJV524338 CTR524336:CTR524338 DDN524336:DDN524338 DNJ524336:DNJ524338 DXF524336:DXF524338 EHB524336:EHB524338 EQX524336:EQX524338 FAT524336:FAT524338 FKP524336:FKP524338 FUL524336:FUL524338 GEH524336:GEH524338 GOD524336:GOD524338 GXZ524336:GXZ524338 HHV524336:HHV524338 HRR524336:HRR524338 IBN524336:IBN524338 ILJ524336:ILJ524338 IVF524336:IVF524338 JFB524336:JFB524338 JOX524336:JOX524338 JYT524336:JYT524338 KIP524336:KIP524338 KSL524336:KSL524338 LCH524336:LCH524338 LMD524336:LMD524338 LVZ524336:LVZ524338 MFV524336:MFV524338 MPR524336:MPR524338 MZN524336:MZN524338 NJJ524336:NJJ524338 NTF524336:NTF524338 ODB524336:ODB524338 OMX524336:OMX524338 OWT524336:OWT524338 PGP524336:PGP524338 PQL524336:PQL524338 QAH524336:QAH524338 QKD524336:QKD524338 QTZ524336:QTZ524338 RDV524336:RDV524338 RNR524336:RNR524338 RXN524336:RXN524338 SHJ524336:SHJ524338 SRF524336:SRF524338 TBB524336:TBB524338 TKX524336:TKX524338 TUT524336:TUT524338 UEP524336:UEP524338 UOL524336:UOL524338 UYH524336:UYH524338 VID524336:VID524338 VRZ524336:VRZ524338 WBV524336:WBV524338 WLR524336:WLR524338 WVN524336:WVN524338 F589872:F589874 JB589872:JB589874 SX589872:SX589874 ACT589872:ACT589874 AMP589872:AMP589874 AWL589872:AWL589874 BGH589872:BGH589874 BQD589872:BQD589874 BZZ589872:BZZ589874 CJV589872:CJV589874 CTR589872:CTR589874 DDN589872:DDN589874 DNJ589872:DNJ589874 DXF589872:DXF589874 EHB589872:EHB589874 EQX589872:EQX589874 FAT589872:FAT589874 FKP589872:FKP589874 FUL589872:FUL589874 GEH589872:GEH589874 GOD589872:GOD589874 GXZ589872:GXZ589874 HHV589872:HHV589874 HRR589872:HRR589874 IBN589872:IBN589874 ILJ589872:ILJ589874 IVF589872:IVF589874 JFB589872:JFB589874 JOX589872:JOX589874 JYT589872:JYT589874 KIP589872:KIP589874 KSL589872:KSL589874 LCH589872:LCH589874 LMD589872:LMD589874 LVZ589872:LVZ589874 MFV589872:MFV589874 MPR589872:MPR589874 MZN589872:MZN589874 NJJ589872:NJJ589874 NTF589872:NTF589874 ODB589872:ODB589874 OMX589872:OMX589874 OWT589872:OWT589874 PGP589872:PGP589874 PQL589872:PQL589874 QAH589872:QAH589874 QKD589872:QKD589874 QTZ589872:QTZ589874 RDV589872:RDV589874 RNR589872:RNR589874 RXN589872:RXN589874 SHJ589872:SHJ589874 SRF589872:SRF589874 TBB589872:TBB589874 TKX589872:TKX589874 TUT589872:TUT589874 UEP589872:UEP589874 UOL589872:UOL589874 UYH589872:UYH589874 VID589872:VID589874 VRZ589872:VRZ589874 WBV589872:WBV589874 WLR589872:WLR589874 WVN589872:WVN589874 F655408:F655410 JB655408:JB655410 SX655408:SX655410 ACT655408:ACT655410 AMP655408:AMP655410 AWL655408:AWL655410 BGH655408:BGH655410 BQD655408:BQD655410 BZZ655408:BZZ655410 CJV655408:CJV655410 CTR655408:CTR655410 DDN655408:DDN655410 DNJ655408:DNJ655410 DXF655408:DXF655410 EHB655408:EHB655410 EQX655408:EQX655410 FAT655408:FAT655410 FKP655408:FKP655410 FUL655408:FUL655410 GEH655408:GEH655410 GOD655408:GOD655410 GXZ655408:GXZ655410 HHV655408:HHV655410 HRR655408:HRR655410 IBN655408:IBN655410 ILJ655408:ILJ655410 IVF655408:IVF655410 JFB655408:JFB655410 JOX655408:JOX655410 JYT655408:JYT655410 KIP655408:KIP655410 KSL655408:KSL655410 LCH655408:LCH655410 LMD655408:LMD655410 LVZ655408:LVZ655410 MFV655408:MFV655410 MPR655408:MPR655410 MZN655408:MZN655410 NJJ655408:NJJ655410 NTF655408:NTF655410 ODB655408:ODB655410 OMX655408:OMX655410 OWT655408:OWT655410 PGP655408:PGP655410 PQL655408:PQL655410 QAH655408:QAH655410 QKD655408:QKD655410 QTZ655408:QTZ655410 RDV655408:RDV655410 RNR655408:RNR655410 RXN655408:RXN655410 SHJ655408:SHJ655410 SRF655408:SRF655410 TBB655408:TBB655410 TKX655408:TKX655410 TUT655408:TUT655410 UEP655408:UEP655410 UOL655408:UOL655410 UYH655408:UYH655410 VID655408:VID655410 VRZ655408:VRZ655410 WBV655408:WBV655410 WLR655408:WLR655410 WVN655408:WVN655410 F720944:F720946 JB720944:JB720946 SX720944:SX720946 ACT720944:ACT720946 AMP720944:AMP720946 AWL720944:AWL720946 BGH720944:BGH720946 BQD720944:BQD720946 BZZ720944:BZZ720946 CJV720944:CJV720946 CTR720944:CTR720946 DDN720944:DDN720946 DNJ720944:DNJ720946 DXF720944:DXF720946 EHB720944:EHB720946 EQX720944:EQX720946 FAT720944:FAT720946 FKP720944:FKP720946 FUL720944:FUL720946 GEH720944:GEH720946 GOD720944:GOD720946 GXZ720944:GXZ720946 HHV720944:HHV720946 HRR720944:HRR720946 IBN720944:IBN720946 ILJ720944:ILJ720946 IVF720944:IVF720946 JFB720944:JFB720946 JOX720944:JOX720946 JYT720944:JYT720946 KIP720944:KIP720946 KSL720944:KSL720946 LCH720944:LCH720946 LMD720944:LMD720946 LVZ720944:LVZ720946 MFV720944:MFV720946 MPR720944:MPR720946 MZN720944:MZN720946 NJJ720944:NJJ720946 NTF720944:NTF720946 ODB720944:ODB720946 OMX720944:OMX720946 OWT720944:OWT720946 PGP720944:PGP720946 PQL720944:PQL720946 QAH720944:QAH720946 QKD720944:QKD720946 QTZ720944:QTZ720946 RDV720944:RDV720946 RNR720944:RNR720946 RXN720944:RXN720946 SHJ720944:SHJ720946 SRF720944:SRF720946 TBB720944:TBB720946 TKX720944:TKX720946 TUT720944:TUT720946 UEP720944:UEP720946 UOL720944:UOL720946 UYH720944:UYH720946 VID720944:VID720946 VRZ720944:VRZ720946 WBV720944:WBV720946 WLR720944:WLR720946 WVN720944:WVN720946 F786480:F786482 JB786480:JB786482 SX786480:SX786482 ACT786480:ACT786482 AMP786480:AMP786482 AWL786480:AWL786482 BGH786480:BGH786482 BQD786480:BQD786482 BZZ786480:BZZ786482 CJV786480:CJV786482 CTR786480:CTR786482 DDN786480:DDN786482 DNJ786480:DNJ786482 DXF786480:DXF786482 EHB786480:EHB786482 EQX786480:EQX786482 FAT786480:FAT786482 FKP786480:FKP786482 FUL786480:FUL786482 GEH786480:GEH786482 GOD786480:GOD786482 GXZ786480:GXZ786482 HHV786480:HHV786482 HRR786480:HRR786482 IBN786480:IBN786482 ILJ786480:ILJ786482 IVF786480:IVF786482 JFB786480:JFB786482 JOX786480:JOX786482 JYT786480:JYT786482 KIP786480:KIP786482 KSL786480:KSL786482 LCH786480:LCH786482 LMD786480:LMD786482 LVZ786480:LVZ786482 MFV786480:MFV786482 MPR786480:MPR786482 MZN786480:MZN786482 NJJ786480:NJJ786482 NTF786480:NTF786482 ODB786480:ODB786482 OMX786480:OMX786482 OWT786480:OWT786482 PGP786480:PGP786482 PQL786480:PQL786482 QAH786480:QAH786482 QKD786480:QKD786482 QTZ786480:QTZ786482 RDV786480:RDV786482 RNR786480:RNR786482 RXN786480:RXN786482 SHJ786480:SHJ786482 SRF786480:SRF786482 TBB786480:TBB786482 TKX786480:TKX786482 TUT786480:TUT786482 UEP786480:UEP786482 UOL786480:UOL786482 UYH786480:UYH786482 VID786480:VID786482 VRZ786480:VRZ786482 WBV786480:WBV786482 WLR786480:WLR786482 WVN786480:WVN786482 F852016:F852018 JB852016:JB852018 SX852016:SX852018 ACT852016:ACT852018 AMP852016:AMP852018 AWL852016:AWL852018 BGH852016:BGH852018 BQD852016:BQD852018 BZZ852016:BZZ852018 CJV852016:CJV852018 CTR852016:CTR852018 DDN852016:DDN852018 DNJ852016:DNJ852018 DXF852016:DXF852018 EHB852016:EHB852018 EQX852016:EQX852018 FAT852016:FAT852018 FKP852016:FKP852018 FUL852016:FUL852018 GEH852016:GEH852018 GOD852016:GOD852018 GXZ852016:GXZ852018 HHV852016:HHV852018 HRR852016:HRR852018 IBN852016:IBN852018 ILJ852016:ILJ852018 IVF852016:IVF852018 JFB852016:JFB852018 JOX852016:JOX852018 JYT852016:JYT852018 KIP852016:KIP852018 KSL852016:KSL852018 LCH852016:LCH852018 LMD852016:LMD852018 LVZ852016:LVZ852018 MFV852016:MFV852018 MPR852016:MPR852018 MZN852016:MZN852018 NJJ852016:NJJ852018 NTF852016:NTF852018 ODB852016:ODB852018 OMX852016:OMX852018 OWT852016:OWT852018 PGP852016:PGP852018 PQL852016:PQL852018 QAH852016:QAH852018 QKD852016:QKD852018 QTZ852016:QTZ852018 RDV852016:RDV852018 RNR852016:RNR852018 RXN852016:RXN852018 SHJ852016:SHJ852018 SRF852016:SRF852018 TBB852016:TBB852018 TKX852016:TKX852018 TUT852016:TUT852018 UEP852016:UEP852018 UOL852016:UOL852018 UYH852016:UYH852018 VID852016:VID852018 VRZ852016:VRZ852018 WBV852016:WBV852018 WLR852016:WLR852018 WVN852016:WVN852018 F917552:F917554 JB917552:JB917554 SX917552:SX917554 ACT917552:ACT917554 AMP917552:AMP917554 AWL917552:AWL917554 BGH917552:BGH917554 BQD917552:BQD917554 BZZ917552:BZZ917554 CJV917552:CJV917554 CTR917552:CTR917554 DDN917552:DDN917554 DNJ917552:DNJ917554 DXF917552:DXF917554 EHB917552:EHB917554 EQX917552:EQX917554 FAT917552:FAT917554 FKP917552:FKP917554 FUL917552:FUL917554 GEH917552:GEH917554 GOD917552:GOD917554 GXZ917552:GXZ917554 HHV917552:HHV917554 HRR917552:HRR917554 IBN917552:IBN917554 ILJ917552:ILJ917554 IVF917552:IVF917554 JFB917552:JFB917554 JOX917552:JOX917554 JYT917552:JYT917554 KIP917552:KIP917554 KSL917552:KSL917554 LCH917552:LCH917554 LMD917552:LMD917554 LVZ917552:LVZ917554 MFV917552:MFV917554 MPR917552:MPR917554 MZN917552:MZN917554 NJJ917552:NJJ917554 NTF917552:NTF917554 ODB917552:ODB917554 OMX917552:OMX917554 OWT917552:OWT917554 PGP917552:PGP917554 PQL917552:PQL917554 QAH917552:QAH917554 QKD917552:QKD917554 QTZ917552:QTZ917554 RDV917552:RDV917554 RNR917552:RNR917554 RXN917552:RXN917554 SHJ917552:SHJ917554 SRF917552:SRF917554 TBB917552:TBB917554 TKX917552:TKX917554 TUT917552:TUT917554 UEP917552:UEP917554 UOL917552:UOL917554 UYH917552:UYH917554 VID917552:VID917554 VRZ917552:VRZ917554 WBV917552:WBV917554 WLR917552:WLR917554 WVN917552:WVN917554 F983088:F983090 JB983088:JB983090 SX983088:SX983090 ACT983088:ACT983090 AMP983088:AMP983090 AWL983088:AWL983090 BGH983088:BGH983090 BQD983088:BQD983090 BZZ983088:BZZ983090 CJV983088:CJV983090 CTR983088:CTR983090 DDN983088:DDN983090 DNJ983088:DNJ983090 DXF983088:DXF983090 EHB983088:EHB983090 EQX983088:EQX983090 FAT983088:FAT983090 FKP983088:FKP983090 FUL983088:FUL983090 GEH983088:GEH983090 GOD983088:GOD983090 GXZ983088:GXZ983090 HHV983088:HHV983090 HRR983088:HRR983090 IBN983088:IBN983090 ILJ983088:ILJ983090 IVF983088:IVF983090 JFB983088:JFB983090 JOX983088:JOX983090 JYT983088:JYT983090 KIP983088:KIP983090 KSL983088:KSL983090 LCH983088:LCH983090 LMD983088:LMD983090 LVZ983088:LVZ983090 MFV983088:MFV983090 MPR983088:MPR983090 MZN983088:MZN983090 NJJ983088:NJJ983090 NTF983088:NTF983090 ODB983088:ODB983090 OMX983088:OMX983090 OWT983088:OWT983090 PGP983088:PGP983090 PQL983088:PQL983090 QAH983088:QAH983090 QKD983088:QKD983090 QTZ983088:QTZ983090 RDV983088:RDV983090 RNR983088:RNR983090 RXN983088:RXN983090 SHJ983088:SHJ983090 SRF983088:SRF983090 TBB983088:TBB983090 TKX983088:TKX983090 TUT983088:TUT983090 UEP983088:UEP983090 UOL983088:UOL983090 UYH983088:UYH983090 VID983088:VID983090 VRZ983088:VRZ983090 WBV983088:WBV983090 WLR983088:WLR983090 WVN983088:WVN983090 WLR983052:WLR983061 JB23 SX23 ACT23 AMP23 AWL23 BGH23 BQD23 BZZ23 CJV23 CTR23 DDN23 DNJ23 DXF23 EHB23 EQX23 FAT23 FKP23 FUL23 GEH23 GOD23 GXZ23 HHV23 HRR23 IBN23 ILJ23 IVF23 JFB23 JOX23 JYT23 KIP23 KSL23 LCH23 LMD23 LVZ23 MFV23 MPR23 MZN23 NJJ23 NTF23 ODB23 OMX23 OWT23 PGP23 PQL23 QAH23 QKD23 QTZ23 RDV23 RNR23 RXN23 SHJ23 SRF23 TBB23 TKX23 TUT23 UEP23 UOL23 UYH23 VID23 VRZ23 WBV23 WLR23 WVN23 F65559 JB65559 SX65559 ACT65559 AMP65559 AWL65559 BGH65559 BQD65559 BZZ65559 CJV65559 CTR65559 DDN65559 DNJ65559 DXF65559 EHB65559 EQX65559 FAT65559 FKP65559 FUL65559 GEH65559 GOD65559 GXZ65559 HHV65559 HRR65559 IBN65559 ILJ65559 IVF65559 JFB65559 JOX65559 JYT65559 KIP65559 KSL65559 LCH65559 LMD65559 LVZ65559 MFV65559 MPR65559 MZN65559 NJJ65559 NTF65559 ODB65559 OMX65559 OWT65559 PGP65559 PQL65559 QAH65559 QKD65559 QTZ65559 RDV65559 RNR65559 RXN65559 SHJ65559 SRF65559 TBB65559 TKX65559 TUT65559 UEP65559 UOL65559 UYH65559 VID65559 VRZ65559 WBV65559 WLR65559 WVN65559 F131095 JB131095 SX131095 ACT131095 AMP131095 AWL131095 BGH131095 BQD131095 BZZ131095 CJV131095 CTR131095 DDN131095 DNJ131095 DXF131095 EHB131095 EQX131095 FAT131095 FKP131095 FUL131095 GEH131095 GOD131095 GXZ131095 HHV131095 HRR131095 IBN131095 ILJ131095 IVF131095 JFB131095 JOX131095 JYT131095 KIP131095 KSL131095 LCH131095 LMD131095 LVZ131095 MFV131095 MPR131095 MZN131095 NJJ131095 NTF131095 ODB131095 OMX131095 OWT131095 PGP131095 PQL131095 QAH131095 QKD131095 QTZ131095 RDV131095 RNR131095 RXN131095 SHJ131095 SRF131095 TBB131095 TKX131095 TUT131095 UEP131095 UOL131095 UYH131095 VID131095 VRZ131095 WBV131095 WLR131095 WVN131095 F196631 JB196631 SX196631 ACT196631 AMP196631 AWL196631 BGH196631 BQD196631 BZZ196631 CJV196631 CTR196631 DDN196631 DNJ196631 DXF196631 EHB196631 EQX196631 FAT196631 FKP196631 FUL196631 GEH196631 GOD196631 GXZ196631 HHV196631 HRR196631 IBN196631 ILJ196631 IVF196631 JFB196631 JOX196631 JYT196631 KIP196631 KSL196631 LCH196631 LMD196631 LVZ196631 MFV196631 MPR196631 MZN196631 NJJ196631 NTF196631 ODB196631 OMX196631 OWT196631 PGP196631 PQL196631 QAH196631 QKD196631 QTZ196631 RDV196631 RNR196631 RXN196631 SHJ196631 SRF196631 TBB196631 TKX196631 TUT196631 UEP196631 UOL196631 UYH196631 VID196631 VRZ196631 WBV196631 WLR196631 WVN196631 F262167 JB262167 SX262167 ACT262167 AMP262167 AWL262167 BGH262167 BQD262167 BZZ262167 CJV262167 CTR262167 DDN262167 DNJ262167 DXF262167 EHB262167 EQX262167 FAT262167 FKP262167 FUL262167 GEH262167 GOD262167 GXZ262167 HHV262167 HRR262167 IBN262167 ILJ262167 IVF262167 JFB262167 JOX262167 JYT262167 KIP262167 KSL262167 LCH262167 LMD262167 LVZ262167 MFV262167 MPR262167 MZN262167 NJJ262167 NTF262167 ODB262167 OMX262167 OWT262167 PGP262167 PQL262167 QAH262167 QKD262167 QTZ262167 RDV262167 RNR262167 RXN262167 SHJ262167 SRF262167 TBB262167 TKX262167 TUT262167 UEP262167 UOL262167 UYH262167 VID262167 VRZ262167 WBV262167 WLR262167 WVN262167 F327703 JB327703 SX327703 ACT327703 AMP327703 AWL327703 BGH327703 BQD327703 BZZ327703 CJV327703 CTR327703 DDN327703 DNJ327703 DXF327703 EHB327703 EQX327703 FAT327703 FKP327703 FUL327703 GEH327703 GOD327703 GXZ327703 HHV327703 HRR327703 IBN327703 ILJ327703 IVF327703 JFB327703 JOX327703 JYT327703 KIP327703 KSL327703 LCH327703 LMD327703 LVZ327703 MFV327703 MPR327703 MZN327703 NJJ327703 NTF327703 ODB327703 OMX327703 OWT327703 PGP327703 PQL327703 QAH327703 QKD327703 QTZ327703 RDV327703 RNR327703 RXN327703 SHJ327703 SRF327703 TBB327703 TKX327703 TUT327703 UEP327703 UOL327703 UYH327703 VID327703 VRZ327703 WBV327703 WLR327703 WVN327703 F393239 JB393239 SX393239 ACT393239 AMP393239 AWL393239 BGH393239 BQD393239 BZZ393239 CJV393239 CTR393239 DDN393239 DNJ393239 DXF393239 EHB393239 EQX393239 FAT393239 FKP393239 FUL393239 GEH393239 GOD393239 GXZ393239 HHV393239 HRR393239 IBN393239 ILJ393239 IVF393239 JFB393239 JOX393239 JYT393239 KIP393239 KSL393239 LCH393239 LMD393239 LVZ393239 MFV393239 MPR393239 MZN393239 NJJ393239 NTF393239 ODB393239 OMX393239 OWT393239 PGP393239 PQL393239 QAH393239 QKD393239 QTZ393239 RDV393239 RNR393239 RXN393239 SHJ393239 SRF393239 TBB393239 TKX393239 TUT393239 UEP393239 UOL393239 UYH393239 VID393239 VRZ393239 WBV393239 WLR393239 WVN393239 F458775 JB458775 SX458775 ACT458775 AMP458775 AWL458775 BGH458775 BQD458775 BZZ458775 CJV458775 CTR458775 DDN458775 DNJ458775 DXF458775 EHB458775 EQX458775 FAT458775 FKP458775 FUL458775 GEH458775 GOD458775 GXZ458775 HHV458775 HRR458775 IBN458775 ILJ458775 IVF458775 JFB458775 JOX458775 JYT458775 KIP458775 KSL458775 LCH458775 LMD458775 LVZ458775 MFV458775 MPR458775 MZN458775 NJJ458775 NTF458775 ODB458775 OMX458775 OWT458775 PGP458775 PQL458775 QAH458775 QKD458775 QTZ458775 RDV458775 RNR458775 RXN458775 SHJ458775 SRF458775 TBB458775 TKX458775 TUT458775 UEP458775 UOL458775 UYH458775 VID458775 VRZ458775 WBV458775 WLR458775 WVN458775 F524311 JB524311 SX524311 ACT524311 AMP524311 AWL524311 BGH524311 BQD524311 BZZ524311 CJV524311 CTR524311 DDN524311 DNJ524311 DXF524311 EHB524311 EQX524311 FAT524311 FKP524311 FUL524311 GEH524311 GOD524311 GXZ524311 HHV524311 HRR524311 IBN524311 ILJ524311 IVF524311 JFB524311 JOX524311 JYT524311 KIP524311 KSL524311 LCH524311 LMD524311 LVZ524311 MFV524311 MPR524311 MZN524311 NJJ524311 NTF524311 ODB524311 OMX524311 OWT524311 PGP524311 PQL524311 QAH524311 QKD524311 QTZ524311 RDV524311 RNR524311 RXN524311 SHJ524311 SRF524311 TBB524311 TKX524311 TUT524311 UEP524311 UOL524311 UYH524311 VID524311 VRZ524311 WBV524311 WLR524311 WVN524311 F589847 JB589847 SX589847 ACT589847 AMP589847 AWL589847 BGH589847 BQD589847 BZZ589847 CJV589847 CTR589847 DDN589847 DNJ589847 DXF589847 EHB589847 EQX589847 FAT589847 FKP589847 FUL589847 GEH589847 GOD589847 GXZ589847 HHV589847 HRR589847 IBN589847 ILJ589847 IVF589847 JFB589847 JOX589847 JYT589847 KIP589847 KSL589847 LCH589847 LMD589847 LVZ589847 MFV589847 MPR589847 MZN589847 NJJ589847 NTF589847 ODB589847 OMX589847 OWT589847 PGP589847 PQL589847 QAH589847 QKD589847 QTZ589847 RDV589847 RNR589847 RXN589847 SHJ589847 SRF589847 TBB589847 TKX589847 TUT589847 UEP589847 UOL589847 UYH589847 VID589847 VRZ589847 WBV589847 WLR589847 WVN589847 F655383 JB655383 SX655383 ACT655383 AMP655383 AWL655383 BGH655383 BQD655383 BZZ655383 CJV655383 CTR655383 DDN655383 DNJ655383 DXF655383 EHB655383 EQX655383 FAT655383 FKP655383 FUL655383 GEH655383 GOD655383 GXZ655383 HHV655383 HRR655383 IBN655383 ILJ655383 IVF655383 JFB655383 JOX655383 JYT655383 KIP655383 KSL655383 LCH655383 LMD655383 LVZ655383 MFV655383 MPR655383 MZN655383 NJJ655383 NTF655383 ODB655383 OMX655383 OWT655383 PGP655383 PQL655383 QAH655383 QKD655383 QTZ655383 RDV655383 RNR655383 RXN655383 SHJ655383 SRF655383 TBB655383 TKX655383 TUT655383 UEP655383 UOL655383 UYH655383 VID655383 VRZ655383 WBV655383 WLR655383 WVN655383 F720919 JB720919 SX720919 ACT720919 AMP720919 AWL720919 BGH720919 BQD720919 BZZ720919 CJV720919 CTR720919 DDN720919 DNJ720919 DXF720919 EHB720919 EQX720919 FAT720919 FKP720919 FUL720919 GEH720919 GOD720919 GXZ720919 HHV720919 HRR720919 IBN720919 ILJ720919 IVF720919 JFB720919 JOX720919 JYT720919 KIP720919 KSL720919 LCH720919 LMD720919 LVZ720919 MFV720919 MPR720919 MZN720919 NJJ720919 NTF720919 ODB720919 OMX720919 OWT720919 PGP720919 PQL720919 QAH720919 QKD720919 QTZ720919 RDV720919 RNR720919 RXN720919 SHJ720919 SRF720919 TBB720919 TKX720919 TUT720919 UEP720919 UOL720919 UYH720919 VID720919 VRZ720919 WBV720919 WLR720919 WVN720919 F786455 JB786455 SX786455 ACT786455 AMP786455 AWL786455 BGH786455 BQD786455 BZZ786455 CJV786455 CTR786455 DDN786455 DNJ786455 DXF786455 EHB786455 EQX786455 FAT786455 FKP786455 FUL786455 GEH786455 GOD786455 GXZ786455 HHV786455 HRR786455 IBN786455 ILJ786455 IVF786455 JFB786455 JOX786455 JYT786455 KIP786455 KSL786455 LCH786455 LMD786455 LVZ786455 MFV786455 MPR786455 MZN786455 NJJ786455 NTF786455 ODB786455 OMX786455 OWT786455 PGP786455 PQL786455 QAH786455 QKD786455 QTZ786455 RDV786455 RNR786455 RXN786455 SHJ786455 SRF786455 TBB786455 TKX786455 TUT786455 UEP786455 UOL786455 UYH786455 VID786455 VRZ786455 WBV786455 WLR786455 WVN786455 F851991 JB851991 SX851991 ACT851991 AMP851991 AWL851991 BGH851991 BQD851991 BZZ851991 CJV851991 CTR851991 DDN851991 DNJ851991 DXF851991 EHB851991 EQX851991 FAT851991 FKP851991 FUL851991 GEH851991 GOD851991 GXZ851991 HHV851991 HRR851991 IBN851991 ILJ851991 IVF851991 JFB851991 JOX851991 JYT851991 KIP851991 KSL851991 LCH851991 LMD851991 LVZ851991 MFV851991 MPR851991 MZN851991 NJJ851991 NTF851991 ODB851991 OMX851991 OWT851991 PGP851991 PQL851991 QAH851991 QKD851991 QTZ851991 RDV851991 RNR851991 RXN851991 SHJ851991 SRF851991 TBB851991 TKX851991 TUT851991 UEP851991 UOL851991 UYH851991 VID851991 VRZ851991 WBV851991 WLR851991 WVN851991 F917527 JB917527 SX917527 ACT917527 AMP917527 AWL917527 BGH917527 BQD917527 BZZ917527 CJV917527 CTR917527 DDN917527 DNJ917527 DXF917527 EHB917527 EQX917527 FAT917527 FKP917527 FUL917527 GEH917527 GOD917527 GXZ917527 HHV917527 HRR917527 IBN917527 ILJ917527 IVF917527 JFB917527 JOX917527 JYT917527 KIP917527 KSL917527 LCH917527 LMD917527 LVZ917527 MFV917527 MPR917527 MZN917527 NJJ917527 NTF917527 ODB917527 OMX917527 OWT917527 PGP917527 PQL917527 QAH917527 QKD917527 QTZ917527 RDV917527 RNR917527 RXN917527 SHJ917527 SRF917527 TBB917527 TKX917527 TUT917527 UEP917527 UOL917527 UYH917527 VID917527 VRZ917527 WBV917527 WLR917527 WVN917527 F983063 JB983063 SX983063 ACT983063 AMP983063 AWL983063 BGH983063 BQD983063 BZZ983063 CJV983063 CTR983063 DDN983063 DNJ983063 DXF983063 EHB983063 EQX983063 FAT983063 FKP983063 FUL983063 GEH983063 GOD983063 GXZ983063 HHV983063 HRR983063 IBN983063 ILJ983063 IVF983063 JFB983063 JOX983063 JYT983063 KIP983063 KSL983063 LCH983063 LMD983063 LVZ983063 MFV983063 MPR983063 MZN983063 NJJ983063 NTF983063 ODB983063 OMX983063 OWT983063 PGP983063 PQL983063 QAH983063 QKD983063 QTZ983063 RDV983063 RNR983063 RXN983063 SHJ983063 SRF983063 TBB983063 TKX983063 TUT983063 UEP983063 UOL983063 UYH983063 VID983063 VRZ983063 WBV983063 WLR983063 WVN983063 UYH983052:UYH983061 JB68:JB69 SX68:SX69 ACT68:ACT69 AMP68:AMP69 AWL68:AWL69 BGH68:BGH69 BQD68:BQD69 BZZ68:BZZ69 CJV68:CJV69 CTR68:CTR69 DDN68:DDN69 DNJ68:DNJ69 DXF68:DXF69 EHB68:EHB69 EQX68:EQX69 FAT68:FAT69 FKP68:FKP69 FUL68:FUL69 GEH68:GEH69 GOD68:GOD69 GXZ68:GXZ69 HHV68:HHV69 HRR68:HRR69 IBN68:IBN69 ILJ68:ILJ69 IVF68:IVF69 JFB68:JFB69 JOX68:JOX69 JYT68:JYT69 KIP68:KIP69 KSL68:KSL69 LCH68:LCH69 LMD68:LMD69 LVZ68:LVZ69 MFV68:MFV69 MPR68:MPR69 MZN68:MZN69 NJJ68:NJJ69 NTF68:NTF69 ODB68:ODB69 OMX68:OMX69 OWT68:OWT69 PGP68:PGP69 PQL68:PQL69 QAH68:QAH69 QKD68:QKD69 QTZ68:QTZ69 RDV68:RDV69 RNR68:RNR69 RXN68:RXN69 SHJ68:SHJ69 SRF68:SRF69 TBB68:TBB69 TKX68:TKX69 TUT68:TUT69 UEP68:UEP69 UOL68:UOL69 UYH68:UYH69 VID68:VID69 VRZ68:VRZ69 WBV68:WBV69 WLR68:WLR69 WVN68:WVN69 F65604:F65605 JB65604:JB65605 SX65604:SX65605 ACT65604:ACT65605 AMP65604:AMP65605 AWL65604:AWL65605 BGH65604:BGH65605 BQD65604:BQD65605 BZZ65604:BZZ65605 CJV65604:CJV65605 CTR65604:CTR65605 DDN65604:DDN65605 DNJ65604:DNJ65605 DXF65604:DXF65605 EHB65604:EHB65605 EQX65604:EQX65605 FAT65604:FAT65605 FKP65604:FKP65605 FUL65604:FUL65605 GEH65604:GEH65605 GOD65604:GOD65605 GXZ65604:GXZ65605 HHV65604:HHV65605 HRR65604:HRR65605 IBN65604:IBN65605 ILJ65604:ILJ65605 IVF65604:IVF65605 JFB65604:JFB65605 JOX65604:JOX65605 JYT65604:JYT65605 KIP65604:KIP65605 KSL65604:KSL65605 LCH65604:LCH65605 LMD65604:LMD65605 LVZ65604:LVZ65605 MFV65604:MFV65605 MPR65604:MPR65605 MZN65604:MZN65605 NJJ65604:NJJ65605 NTF65604:NTF65605 ODB65604:ODB65605 OMX65604:OMX65605 OWT65604:OWT65605 PGP65604:PGP65605 PQL65604:PQL65605 QAH65604:QAH65605 QKD65604:QKD65605 QTZ65604:QTZ65605 RDV65604:RDV65605 RNR65604:RNR65605 RXN65604:RXN65605 SHJ65604:SHJ65605 SRF65604:SRF65605 TBB65604:TBB65605 TKX65604:TKX65605 TUT65604:TUT65605 UEP65604:UEP65605 UOL65604:UOL65605 UYH65604:UYH65605 VID65604:VID65605 VRZ65604:VRZ65605 WBV65604:WBV65605 WLR65604:WLR65605 WVN65604:WVN65605 F131140:F131141 JB131140:JB131141 SX131140:SX131141 ACT131140:ACT131141 AMP131140:AMP131141 AWL131140:AWL131141 BGH131140:BGH131141 BQD131140:BQD131141 BZZ131140:BZZ131141 CJV131140:CJV131141 CTR131140:CTR131141 DDN131140:DDN131141 DNJ131140:DNJ131141 DXF131140:DXF131141 EHB131140:EHB131141 EQX131140:EQX131141 FAT131140:FAT131141 FKP131140:FKP131141 FUL131140:FUL131141 GEH131140:GEH131141 GOD131140:GOD131141 GXZ131140:GXZ131141 HHV131140:HHV131141 HRR131140:HRR131141 IBN131140:IBN131141 ILJ131140:ILJ131141 IVF131140:IVF131141 JFB131140:JFB131141 JOX131140:JOX131141 JYT131140:JYT131141 KIP131140:KIP131141 KSL131140:KSL131141 LCH131140:LCH131141 LMD131140:LMD131141 LVZ131140:LVZ131141 MFV131140:MFV131141 MPR131140:MPR131141 MZN131140:MZN131141 NJJ131140:NJJ131141 NTF131140:NTF131141 ODB131140:ODB131141 OMX131140:OMX131141 OWT131140:OWT131141 PGP131140:PGP131141 PQL131140:PQL131141 QAH131140:QAH131141 QKD131140:QKD131141 QTZ131140:QTZ131141 RDV131140:RDV131141 RNR131140:RNR131141 RXN131140:RXN131141 SHJ131140:SHJ131141 SRF131140:SRF131141 TBB131140:TBB131141 TKX131140:TKX131141 TUT131140:TUT131141 UEP131140:UEP131141 UOL131140:UOL131141 UYH131140:UYH131141 VID131140:VID131141 VRZ131140:VRZ131141 WBV131140:WBV131141 WLR131140:WLR131141 WVN131140:WVN131141 F196676:F196677 JB196676:JB196677 SX196676:SX196677 ACT196676:ACT196677 AMP196676:AMP196677 AWL196676:AWL196677 BGH196676:BGH196677 BQD196676:BQD196677 BZZ196676:BZZ196677 CJV196676:CJV196677 CTR196676:CTR196677 DDN196676:DDN196677 DNJ196676:DNJ196677 DXF196676:DXF196677 EHB196676:EHB196677 EQX196676:EQX196677 FAT196676:FAT196677 FKP196676:FKP196677 FUL196676:FUL196677 GEH196676:GEH196677 GOD196676:GOD196677 GXZ196676:GXZ196677 HHV196676:HHV196677 HRR196676:HRR196677 IBN196676:IBN196677 ILJ196676:ILJ196677 IVF196676:IVF196677 JFB196676:JFB196677 JOX196676:JOX196677 JYT196676:JYT196677 KIP196676:KIP196677 KSL196676:KSL196677 LCH196676:LCH196677 LMD196676:LMD196677 LVZ196676:LVZ196677 MFV196676:MFV196677 MPR196676:MPR196677 MZN196676:MZN196677 NJJ196676:NJJ196677 NTF196676:NTF196677 ODB196676:ODB196677 OMX196676:OMX196677 OWT196676:OWT196677 PGP196676:PGP196677 PQL196676:PQL196677 QAH196676:QAH196677 QKD196676:QKD196677 QTZ196676:QTZ196677 RDV196676:RDV196677 RNR196676:RNR196677 RXN196676:RXN196677 SHJ196676:SHJ196677 SRF196676:SRF196677 TBB196676:TBB196677 TKX196676:TKX196677 TUT196676:TUT196677 UEP196676:UEP196677 UOL196676:UOL196677 UYH196676:UYH196677 VID196676:VID196677 VRZ196676:VRZ196677 WBV196676:WBV196677 WLR196676:WLR196677 WVN196676:WVN196677 F262212:F262213 JB262212:JB262213 SX262212:SX262213 ACT262212:ACT262213 AMP262212:AMP262213 AWL262212:AWL262213 BGH262212:BGH262213 BQD262212:BQD262213 BZZ262212:BZZ262213 CJV262212:CJV262213 CTR262212:CTR262213 DDN262212:DDN262213 DNJ262212:DNJ262213 DXF262212:DXF262213 EHB262212:EHB262213 EQX262212:EQX262213 FAT262212:FAT262213 FKP262212:FKP262213 FUL262212:FUL262213 GEH262212:GEH262213 GOD262212:GOD262213 GXZ262212:GXZ262213 HHV262212:HHV262213 HRR262212:HRR262213 IBN262212:IBN262213 ILJ262212:ILJ262213 IVF262212:IVF262213 JFB262212:JFB262213 JOX262212:JOX262213 JYT262212:JYT262213 KIP262212:KIP262213 KSL262212:KSL262213 LCH262212:LCH262213 LMD262212:LMD262213 LVZ262212:LVZ262213 MFV262212:MFV262213 MPR262212:MPR262213 MZN262212:MZN262213 NJJ262212:NJJ262213 NTF262212:NTF262213 ODB262212:ODB262213 OMX262212:OMX262213 OWT262212:OWT262213 PGP262212:PGP262213 PQL262212:PQL262213 QAH262212:QAH262213 QKD262212:QKD262213 QTZ262212:QTZ262213 RDV262212:RDV262213 RNR262212:RNR262213 RXN262212:RXN262213 SHJ262212:SHJ262213 SRF262212:SRF262213 TBB262212:TBB262213 TKX262212:TKX262213 TUT262212:TUT262213 UEP262212:UEP262213 UOL262212:UOL262213 UYH262212:UYH262213 VID262212:VID262213 VRZ262212:VRZ262213 WBV262212:WBV262213 WLR262212:WLR262213 WVN262212:WVN262213 F327748:F327749 JB327748:JB327749 SX327748:SX327749 ACT327748:ACT327749 AMP327748:AMP327749 AWL327748:AWL327749 BGH327748:BGH327749 BQD327748:BQD327749 BZZ327748:BZZ327749 CJV327748:CJV327749 CTR327748:CTR327749 DDN327748:DDN327749 DNJ327748:DNJ327749 DXF327748:DXF327749 EHB327748:EHB327749 EQX327748:EQX327749 FAT327748:FAT327749 FKP327748:FKP327749 FUL327748:FUL327749 GEH327748:GEH327749 GOD327748:GOD327749 GXZ327748:GXZ327749 HHV327748:HHV327749 HRR327748:HRR327749 IBN327748:IBN327749 ILJ327748:ILJ327749 IVF327748:IVF327749 JFB327748:JFB327749 JOX327748:JOX327749 JYT327748:JYT327749 KIP327748:KIP327749 KSL327748:KSL327749 LCH327748:LCH327749 LMD327748:LMD327749 LVZ327748:LVZ327749 MFV327748:MFV327749 MPR327748:MPR327749 MZN327748:MZN327749 NJJ327748:NJJ327749 NTF327748:NTF327749 ODB327748:ODB327749 OMX327748:OMX327749 OWT327748:OWT327749 PGP327748:PGP327749 PQL327748:PQL327749 QAH327748:QAH327749 QKD327748:QKD327749 QTZ327748:QTZ327749 RDV327748:RDV327749 RNR327748:RNR327749 RXN327748:RXN327749 SHJ327748:SHJ327749 SRF327748:SRF327749 TBB327748:TBB327749 TKX327748:TKX327749 TUT327748:TUT327749 UEP327748:UEP327749 UOL327748:UOL327749 UYH327748:UYH327749 VID327748:VID327749 VRZ327748:VRZ327749 WBV327748:WBV327749 WLR327748:WLR327749 WVN327748:WVN327749 F393284:F393285 JB393284:JB393285 SX393284:SX393285 ACT393284:ACT393285 AMP393284:AMP393285 AWL393284:AWL393285 BGH393284:BGH393285 BQD393284:BQD393285 BZZ393284:BZZ393285 CJV393284:CJV393285 CTR393284:CTR393285 DDN393284:DDN393285 DNJ393284:DNJ393285 DXF393284:DXF393285 EHB393284:EHB393285 EQX393284:EQX393285 FAT393284:FAT393285 FKP393284:FKP393285 FUL393284:FUL393285 GEH393284:GEH393285 GOD393284:GOD393285 GXZ393284:GXZ393285 HHV393284:HHV393285 HRR393284:HRR393285 IBN393284:IBN393285 ILJ393284:ILJ393285 IVF393284:IVF393285 JFB393284:JFB393285 JOX393284:JOX393285 JYT393284:JYT393285 KIP393284:KIP393285 KSL393284:KSL393285 LCH393284:LCH393285 LMD393284:LMD393285 LVZ393284:LVZ393285 MFV393284:MFV393285 MPR393284:MPR393285 MZN393284:MZN393285 NJJ393284:NJJ393285 NTF393284:NTF393285 ODB393284:ODB393285 OMX393284:OMX393285 OWT393284:OWT393285 PGP393284:PGP393285 PQL393284:PQL393285 QAH393284:QAH393285 QKD393284:QKD393285 QTZ393284:QTZ393285 RDV393284:RDV393285 RNR393284:RNR393285 RXN393284:RXN393285 SHJ393284:SHJ393285 SRF393284:SRF393285 TBB393284:TBB393285 TKX393284:TKX393285 TUT393284:TUT393285 UEP393284:UEP393285 UOL393284:UOL393285 UYH393284:UYH393285 VID393284:VID393285 VRZ393284:VRZ393285 WBV393284:WBV393285 WLR393284:WLR393285 WVN393284:WVN393285 F458820:F458821 JB458820:JB458821 SX458820:SX458821 ACT458820:ACT458821 AMP458820:AMP458821 AWL458820:AWL458821 BGH458820:BGH458821 BQD458820:BQD458821 BZZ458820:BZZ458821 CJV458820:CJV458821 CTR458820:CTR458821 DDN458820:DDN458821 DNJ458820:DNJ458821 DXF458820:DXF458821 EHB458820:EHB458821 EQX458820:EQX458821 FAT458820:FAT458821 FKP458820:FKP458821 FUL458820:FUL458821 GEH458820:GEH458821 GOD458820:GOD458821 GXZ458820:GXZ458821 HHV458820:HHV458821 HRR458820:HRR458821 IBN458820:IBN458821 ILJ458820:ILJ458821 IVF458820:IVF458821 JFB458820:JFB458821 JOX458820:JOX458821 JYT458820:JYT458821 KIP458820:KIP458821 KSL458820:KSL458821 LCH458820:LCH458821 LMD458820:LMD458821 LVZ458820:LVZ458821 MFV458820:MFV458821 MPR458820:MPR458821 MZN458820:MZN458821 NJJ458820:NJJ458821 NTF458820:NTF458821 ODB458820:ODB458821 OMX458820:OMX458821 OWT458820:OWT458821 PGP458820:PGP458821 PQL458820:PQL458821 QAH458820:QAH458821 QKD458820:QKD458821 QTZ458820:QTZ458821 RDV458820:RDV458821 RNR458820:RNR458821 RXN458820:RXN458821 SHJ458820:SHJ458821 SRF458820:SRF458821 TBB458820:TBB458821 TKX458820:TKX458821 TUT458820:TUT458821 UEP458820:UEP458821 UOL458820:UOL458821 UYH458820:UYH458821 VID458820:VID458821 VRZ458820:VRZ458821 WBV458820:WBV458821 WLR458820:WLR458821 WVN458820:WVN458821 F524356:F524357 JB524356:JB524357 SX524356:SX524357 ACT524356:ACT524357 AMP524356:AMP524357 AWL524356:AWL524357 BGH524356:BGH524357 BQD524356:BQD524357 BZZ524356:BZZ524357 CJV524356:CJV524357 CTR524356:CTR524357 DDN524356:DDN524357 DNJ524356:DNJ524357 DXF524356:DXF524357 EHB524356:EHB524357 EQX524356:EQX524357 FAT524356:FAT524357 FKP524356:FKP524357 FUL524356:FUL524357 GEH524356:GEH524357 GOD524356:GOD524357 GXZ524356:GXZ524357 HHV524356:HHV524357 HRR524356:HRR524357 IBN524356:IBN524357 ILJ524356:ILJ524357 IVF524356:IVF524357 JFB524356:JFB524357 JOX524356:JOX524357 JYT524356:JYT524357 KIP524356:KIP524357 KSL524356:KSL524357 LCH524356:LCH524357 LMD524356:LMD524357 LVZ524356:LVZ524357 MFV524356:MFV524357 MPR524356:MPR524357 MZN524356:MZN524357 NJJ524356:NJJ524357 NTF524356:NTF524357 ODB524356:ODB524357 OMX524356:OMX524357 OWT524356:OWT524357 PGP524356:PGP524357 PQL524356:PQL524357 QAH524356:QAH524357 QKD524356:QKD524357 QTZ524356:QTZ524357 RDV524356:RDV524357 RNR524356:RNR524357 RXN524356:RXN524357 SHJ524356:SHJ524357 SRF524356:SRF524357 TBB524356:TBB524357 TKX524356:TKX524357 TUT524356:TUT524357 UEP524356:UEP524357 UOL524356:UOL524357 UYH524356:UYH524357 VID524356:VID524357 VRZ524356:VRZ524357 WBV524356:WBV524357 WLR524356:WLR524357 WVN524356:WVN524357 F589892:F589893 JB589892:JB589893 SX589892:SX589893 ACT589892:ACT589893 AMP589892:AMP589893 AWL589892:AWL589893 BGH589892:BGH589893 BQD589892:BQD589893 BZZ589892:BZZ589893 CJV589892:CJV589893 CTR589892:CTR589893 DDN589892:DDN589893 DNJ589892:DNJ589893 DXF589892:DXF589893 EHB589892:EHB589893 EQX589892:EQX589893 FAT589892:FAT589893 FKP589892:FKP589893 FUL589892:FUL589893 GEH589892:GEH589893 GOD589892:GOD589893 GXZ589892:GXZ589893 HHV589892:HHV589893 HRR589892:HRR589893 IBN589892:IBN589893 ILJ589892:ILJ589893 IVF589892:IVF589893 JFB589892:JFB589893 JOX589892:JOX589893 JYT589892:JYT589893 KIP589892:KIP589893 KSL589892:KSL589893 LCH589892:LCH589893 LMD589892:LMD589893 LVZ589892:LVZ589893 MFV589892:MFV589893 MPR589892:MPR589893 MZN589892:MZN589893 NJJ589892:NJJ589893 NTF589892:NTF589893 ODB589892:ODB589893 OMX589892:OMX589893 OWT589892:OWT589893 PGP589892:PGP589893 PQL589892:PQL589893 QAH589892:QAH589893 QKD589892:QKD589893 QTZ589892:QTZ589893 RDV589892:RDV589893 RNR589892:RNR589893 RXN589892:RXN589893 SHJ589892:SHJ589893 SRF589892:SRF589893 TBB589892:TBB589893 TKX589892:TKX589893 TUT589892:TUT589893 UEP589892:UEP589893 UOL589892:UOL589893 UYH589892:UYH589893 VID589892:VID589893 VRZ589892:VRZ589893 WBV589892:WBV589893 WLR589892:WLR589893 WVN589892:WVN589893 F655428:F655429 JB655428:JB655429 SX655428:SX655429 ACT655428:ACT655429 AMP655428:AMP655429 AWL655428:AWL655429 BGH655428:BGH655429 BQD655428:BQD655429 BZZ655428:BZZ655429 CJV655428:CJV655429 CTR655428:CTR655429 DDN655428:DDN655429 DNJ655428:DNJ655429 DXF655428:DXF655429 EHB655428:EHB655429 EQX655428:EQX655429 FAT655428:FAT655429 FKP655428:FKP655429 FUL655428:FUL655429 GEH655428:GEH655429 GOD655428:GOD655429 GXZ655428:GXZ655429 HHV655428:HHV655429 HRR655428:HRR655429 IBN655428:IBN655429 ILJ655428:ILJ655429 IVF655428:IVF655429 JFB655428:JFB655429 JOX655428:JOX655429 JYT655428:JYT655429 KIP655428:KIP655429 KSL655428:KSL655429 LCH655428:LCH655429 LMD655428:LMD655429 LVZ655428:LVZ655429 MFV655428:MFV655429 MPR655428:MPR655429 MZN655428:MZN655429 NJJ655428:NJJ655429 NTF655428:NTF655429 ODB655428:ODB655429 OMX655428:OMX655429 OWT655428:OWT655429 PGP655428:PGP655429 PQL655428:PQL655429 QAH655428:QAH655429 QKD655428:QKD655429 QTZ655428:QTZ655429 RDV655428:RDV655429 RNR655428:RNR655429 RXN655428:RXN655429 SHJ655428:SHJ655429 SRF655428:SRF655429 TBB655428:TBB655429 TKX655428:TKX655429 TUT655428:TUT655429 UEP655428:UEP655429 UOL655428:UOL655429 UYH655428:UYH655429 VID655428:VID655429 VRZ655428:VRZ655429 WBV655428:WBV655429 WLR655428:WLR655429 WVN655428:WVN655429 F720964:F720965 JB720964:JB720965 SX720964:SX720965 ACT720964:ACT720965 AMP720964:AMP720965 AWL720964:AWL720965 BGH720964:BGH720965 BQD720964:BQD720965 BZZ720964:BZZ720965 CJV720964:CJV720965 CTR720964:CTR720965 DDN720964:DDN720965 DNJ720964:DNJ720965 DXF720964:DXF720965 EHB720964:EHB720965 EQX720964:EQX720965 FAT720964:FAT720965 FKP720964:FKP720965 FUL720964:FUL720965 GEH720964:GEH720965 GOD720964:GOD720965 GXZ720964:GXZ720965 HHV720964:HHV720965 HRR720964:HRR720965 IBN720964:IBN720965 ILJ720964:ILJ720965 IVF720964:IVF720965 JFB720964:JFB720965 JOX720964:JOX720965 JYT720964:JYT720965 KIP720964:KIP720965 KSL720964:KSL720965 LCH720964:LCH720965 LMD720964:LMD720965 LVZ720964:LVZ720965 MFV720964:MFV720965 MPR720964:MPR720965 MZN720964:MZN720965 NJJ720964:NJJ720965 NTF720964:NTF720965 ODB720964:ODB720965 OMX720964:OMX720965 OWT720964:OWT720965 PGP720964:PGP720965 PQL720964:PQL720965 QAH720964:QAH720965 QKD720964:QKD720965 QTZ720964:QTZ720965 RDV720964:RDV720965 RNR720964:RNR720965 RXN720964:RXN720965 SHJ720964:SHJ720965 SRF720964:SRF720965 TBB720964:TBB720965 TKX720964:TKX720965 TUT720964:TUT720965 UEP720964:UEP720965 UOL720964:UOL720965 UYH720964:UYH720965 VID720964:VID720965 VRZ720964:VRZ720965 WBV720964:WBV720965 WLR720964:WLR720965 WVN720964:WVN720965 F786500:F786501 JB786500:JB786501 SX786500:SX786501 ACT786500:ACT786501 AMP786500:AMP786501 AWL786500:AWL786501 BGH786500:BGH786501 BQD786500:BQD786501 BZZ786500:BZZ786501 CJV786500:CJV786501 CTR786500:CTR786501 DDN786500:DDN786501 DNJ786500:DNJ786501 DXF786500:DXF786501 EHB786500:EHB786501 EQX786500:EQX786501 FAT786500:FAT786501 FKP786500:FKP786501 FUL786500:FUL786501 GEH786500:GEH786501 GOD786500:GOD786501 GXZ786500:GXZ786501 HHV786500:HHV786501 HRR786500:HRR786501 IBN786500:IBN786501 ILJ786500:ILJ786501 IVF786500:IVF786501 JFB786500:JFB786501 JOX786500:JOX786501 JYT786500:JYT786501 KIP786500:KIP786501 KSL786500:KSL786501 LCH786500:LCH786501 LMD786500:LMD786501 LVZ786500:LVZ786501 MFV786500:MFV786501 MPR786500:MPR786501 MZN786500:MZN786501 NJJ786500:NJJ786501 NTF786500:NTF786501 ODB786500:ODB786501 OMX786500:OMX786501 OWT786500:OWT786501 PGP786500:PGP786501 PQL786500:PQL786501 QAH786500:QAH786501 QKD786500:QKD786501 QTZ786500:QTZ786501 RDV786500:RDV786501 RNR786500:RNR786501 RXN786500:RXN786501 SHJ786500:SHJ786501 SRF786500:SRF786501 TBB786500:TBB786501 TKX786500:TKX786501 TUT786500:TUT786501 UEP786500:UEP786501 UOL786500:UOL786501 UYH786500:UYH786501 VID786500:VID786501 VRZ786500:VRZ786501 WBV786500:WBV786501 WLR786500:WLR786501 WVN786500:WVN786501 F852036:F852037 JB852036:JB852037 SX852036:SX852037 ACT852036:ACT852037 AMP852036:AMP852037 AWL852036:AWL852037 BGH852036:BGH852037 BQD852036:BQD852037 BZZ852036:BZZ852037 CJV852036:CJV852037 CTR852036:CTR852037 DDN852036:DDN852037 DNJ852036:DNJ852037 DXF852036:DXF852037 EHB852036:EHB852037 EQX852036:EQX852037 FAT852036:FAT852037 FKP852036:FKP852037 FUL852036:FUL852037 GEH852036:GEH852037 GOD852036:GOD852037 GXZ852036:GXZ852037 HHV852036:HHV852037 HRR852036:HRR852037 IBN852036:IBN852037 ILJ852036:ILJ852037 IVF852036:IVF852037 JFB852036:JFB852037 JOX852036:JOX852037 JYT852036:JYT852037 KIP852036:KIP852037 KSL852036:KSL852037 LCH852036:LCH852037 LMD852036:LMD852037 LVZ852036:LVZ852037 MFV852036:MFV852037 MPR852036:MPR852037 MZN852036:MZN852037 NJJ852036:NJJ852037 NTF852036:NTF852037 ODB852036:ODB852037 OMX852036:OMX852037 OWT852036:OWT852037 PGP852036:PGP852037 PQL852036:PQL852037 QAH852036:QAH852037 QKD852036:QKD852037 QTZ852036:QTZ852037 RDV852036:RDV852037 RNR852036:RNR852037 RXN852036:RXN852037 SHJ852036:SHJ852037 SRF852036:SRF852037 TBB852036:TBB852037 TKX852036:TKX852037 TUT852036:TUT852037 UEP852036:UEP852037 UOL852036:UOL852037 UYH852036:UYH852037 VID852036:VID852037 VRZ852036:VRZ852037 WBV852036:WBV852037 WLR852036:WLR852037 WVN852036:WVN852037 F917572:F917573 JB917572:JB917573 SX917572:SX917573 ACT917572:ACT917573 AMP917572:AMP917573 AWL917572:AWL917573 BGH917572:BGH917573 BQD917572:BQD917573 BZZ917572:BZZ917573 CJV917572:CJV917573 CTR917572:CTR917573 DDN917572:DDN917573 DNJ917572:DNJ917573 DXF917572:DXF917573 EHB917572:EHB917573 EQX917572:EQX917573 FAT917572:FAT917573 FKP917572:FKP917573 FUL917572:FUL917573 GEH917572:GEH917573 GOD917572:GOD917573 GXZ917572:GXZ917573 HHV917572:HHV917573 HRR917572:HRR917573 IBN917572:IBN917573 ILJ917572:ILJ917573 IVF917572:IVF917573 JFB917572:JFB917573 JOX917572:JOX917573 JYT917572:JYT917573 KIP917572:KIP917573 KSL917572:KSL917573 LCH917572:LCH917573 LMD917572:LMD917573 LVZ917572:LVZ917573 MFV917572:MFV917573 MPR917572:MPR917573 MZN917572:MZN917573 NJJ917572:NJJ917573 NTF917572:NTF917573 ODB917572:ODB917573 OMX917572:OMX917573 OWT917572:OWT917573 PGP917572:PGP917573 PQL917572:PQL917573 QAH917572:QAH917573 QKD917572:QKD917573 QTZ917572:QTZ917573 RDV917572:RDV917573 RNR917572:RNR917573 RXN917572:RXN917573 SHJ917572:SHJ917573 SRF917572:SRF917573 TBB917572:TBB917573 TKX917572:TKX917573 TUT917572:TUT917573 UEP917572:UEP917573 UOL917572:UOL917573 UYH917572:UYH917573 VID917572:VID917573 VRZ917572:VRZ917573 WBV917572:WBV917573 WLR917572:WLR917573 WVN917572:WVN917573 F983108:F983109 JB983108:JB983109 SX983108:SX983109 ACT983108:ACT983109 AMP983108:AMP983109 AWL983108:AWL983109 BGH983108:BGH983109 BQD983108:BQD983109 BZZ983108:BZZ983109 CJV983108:CJV983109 CTR983108:CTR983109 DDN983108:DDN983109 DNJ983108:DNJ983109 DXF983108:DXF983109 EHB983108:EHB983109 EQX983108:EQX983109 FAT983108:FAT983109 FKP983108:FKP983109 FUL983108:FUL983109 GEH983108:GEH983109 GOD983108:GOD983109 GXZ983108:GXZ983109 HHV983108:HHV983109 HRR983108:HRR983109 IBN983108:IBN983109 ILJ983108:ILJ983109 IVF983108:IVF983109 JFB983108:JFB983109 JOX983108:JOX983109 JYT983108:JYT983109 KIP983108:KIP983109 KSL983108:KSL983109 LCH983108:LCH983109 LMD983108:LMD983109 LVZ983108:LVZ983109 MFV983108:MFV983109 MPR983108:MPR983109 MZN983108:MZN983109 NJJ983108:NJJ983109 NTF983108:NTF983109 ODB983108:ODB983109 OMX983108:OMX983109 OWT983108:OWT983109 PGP983108:PGP983109 PQL983108:PQL983109 QAH983108:QAH983109 QKD983108:QKD983109 QTZ983108:QTZ983109 RDV983108:RDV983109 RNR983108:RNR983109 RXN983108:RXN983109 SHJ983108:SHJ983109 SRF983108:SRF983109 TBB983108:TBB983109 TKX983108:TKX983109 TUT983108:TUT983109 UEP983108:UEP983109 UOL983108:UOL983109 UYH983108:UYH983109 VID983108:VID983109 VRZ983108:VRZ983109 WBV983108:WBV983109 WLR983108:WLR983109 WVN983108:WVN983109 VID983052:VID983061 JB52:JB66 SX52:SX66 ACT52:ACT66 AMP52:AMP66 AWL52:AWL66 BGH52:BGH66 BQD52:BQD66 BZZ52:BZZ66 CJV52:CJV66 CTR52:CTR66 DDN52:DDN66 DNJ52:DNJ66 DXF52:DXF66 EHB52:EHB66 EQX52:EQX66 FAT52:FAT66 FKP52:FKP66 FUL52:FUL66 GEH52:GEH66 GOD52:GOD66 GXZ52:GXZ66 HHV52:HHV66 HRR52:HRR66 IBN52:IBN66 ILJ52:ILJ66 IVF52:IVF66 JFB52:JFB66 JOX52:JOX66 JYT52:JYT66 KIP52:KIP66 KSL52:KSL66 LCH52:LCH66 LMD52:LMD66 LVZ52:LVZ66 MFV52:MFV66 MPR52:MPR66 MZN52:MZN66 NJJ52:NJJ66 NTF52:NTF66 ODB52:ODB66 OMX52:OMX66 OWT52:OWT66 PGP52:PGP66 PQL52:PQL66 QAH52:QAH66 QKD52:QKD66 QTZ52:QTZ66 RDV52:RDV66 RNR52:RNR66 RXN52:RXN66 SHJ52:SHJ66 SRF52:SRF66 TBB52:TBB66 TKX52:TKX66 TUT52:TUT66 UEP52:UEP66 UOL52:UOL66 UYH52:UYH66 VID52:VID66 VRZ52:VRZ66 WBV52:WBV66 WLR52:WLR66 WVN52:WVN66 F65588:F65602 JB65588:JB65602 SX65588:SX65602 ACT65588:ACT65602 AMP65588:AMP65602 AWL65588:AWL65602 BGH65588:BGH65602 BQD65588:BQD65602 BZZ65588:BZZ65602 CJV65588:CJV65602 CTR65588:CTR65602 DDN65588:DDN65602 DNJ65588:DNJ65602 DXF65588:DXF65602 EHB65588:EHB65602 EQX65588:EQX65602 FAT65588:FAT65602 FKP65588:FKP65602 FUL65588:FUL65602 GEH65588:GEH65602 GOD65588:GOD65602 GXZ65588:GXZ65602 HHV65588:HHV65602 HRR65588:HRR65602 IBN65588:IBN65602 ILJ65588:ILJ65602 IVF65588:IVF65602 JFB65588:JFB65602 JOX65588:JOX65602 JYT65588:JYT65602 KIP65588:KIP65602 KSL65588:KSL65602 LCH65588:LCH65602 LMD65588:LMD65602 LVZ65588:LVZ65602 MFV65588:MFV65602 MPR65588:MPR65602 MZN65588:MZN65602 NJJ65588:NJJ65602 NTF65588:NTF65602 ODB65588:ODB65602 OMX65588:OMX65602 OWT65588:OWT65602 PGP65588:PGP65602 PQL65588:PQL65602 QAH65588:QAH65602 QKD65588:QKD65602 QTZ65588:QTZ65602 RDV65588:RDV65602 RNR65588:RNR65602 RXN65588:RXN65602 SHJ65588:SHJ65602 SRF65588:SRF65602 TBB65588:TBB65602 TKX65588:TKX65602 TUT65588:TUT65602 UEP65588:UEP65602 UOL65588:UOL65602 UYH65588:UYH65602 VID65588:VID65602 VRZ65588:VRZ65602 WBV65588:WBV65602 WLR65588:WLR65602 WVN65588:WVN65602 F131124:F131138 JB131124:JB131138 SX131124:SX131138 ACT131124:ACT131138 AMP131124:AMP131138 AWL131124:AWL131138 BGH131124:BGH131138 BQD131124:BQD131138 BZZ131124:BZZ131138 CJV131124:CJV131138 CTR131124:CTR131138 DDN131124:DDN131138 DNJ131124:DNJ131138 DXF131124:DXF131138 EHB131124:EHB131138 EQX131124:EQX131138 FAT131124:FAT131138 FKP131124:FKP131138 FUL131124:FUL131138 GEH131124:GEH131138 GOD131124:GOD131138 GXZ131124:GXZ131138 HHV131124:HHV131138 HRR131124:HRR131138 IBN131124:IBN131138 ILJ131124:ILJ131138 IVF131124:IVF131138 JFB131124:JFB131138 JOX131124:JOX131138 JYT131124:JYT131138 KIP131124:KIP131138 KSL131124:KSL131138 LCH131124:LCH131138 LMD131124:LMD131138 LVZ131124:LVZ131138 MFV131124:MFV131138 MPR131124:MPR131138 MZN131124:MZN131138 NJJ131124:NJJ131138 NTF131124:NTF131138 ODB131124:ODB131138 OMX131124:OMX131138 OWT131124:OWT131138 PGP131124:PGP131138 PQL131124:PQL131138 QAH131124:QAH131138 QKD131124:QKD131138 QTZ131124:QTZ131138 RDV131124:RDV131138 RNR131124:RNR131138 RXN131124:RXN131138 SHJ131124:SHJ131138 SRF131124:SRF131138 TBB131124:TBB131138 TKX131124:TKX131138 TUT131124:TUT131138 UEP131124:UEP131138 UOL131124:UOL131138 UYH131124:UYH131138 VID131124:VID131138 VRZ131124:VRZ131138 WBV131124:WBV131138 WLR131124:WLR131138 WVN131124:WVN131138 F196660:F196674 JB196660:JB196674 SX196660:SX196674 ACT196660:ACT196674 AMP196660:AMP196674 AWL196660:AWL196674 BGH196660:BGH196674 BQD196660:BQD196674 BZZ196660:BZZ196674 CJV196660:CJV196674 CTR196660:CTR196674 DDN196660:DDN196674 DNJ196660:DNJ196674 DXF196660:DXF196674 EHB196660:EHB196674 EQX196660:EQX196674 FAT196660:FAT196674 FKP196660:FKP196674 FUL196660:FUL196674 GEH196660:GEH196674 GOD196660:GOD196674 GXZ196660:GXZ196674 HHV196660:HHV196674 HRR196660:HRR196674 IBN196660:IBN196674 ILJ196660:ILJ196674 IVF196660:IVF196674 JFB196660:JFB196674 JOX196660:JOX196674 JYT196660:JYT196674 KIP196660:KIP196674 KSL196660:KSL196674 LCH196660:LCH196674 LMD196660:LMD196674 LVZ196660:LVZ196674 MFV196660:MFV196674 MPR196660:MPR196674 MZN196660:MZN196674 NJJ196660:NJJ196674 NTF196660:NTF196674 ODB196660:ODB196674 OMX196660:OMX196674 OWT196660:OWT196674 PGP196660:PGP196674 PQL196660:PQL196674 QAH196660:QAH196674 QKD196660:QKD196674 QTZ196660:QTZ196674 RDV196660:RDV196674 RNR196660:RNR196674 RXN196660:RXN196674 SHJ196660:SHJ196674 SRF196660:SRF196674 TBB196660:TBB196674 TKX196660:TKX196674 TUT196660:TUT196674 UEP196660:UEP196674 UOL196660:UOL196674 UYH196660:UYH196674 VID196660:VID196674 VRZ196660:VRZ196674 WBV196660:WBV196674 WLR196660:WLR196674 WVN196660:WVN196674 F262196:F262210 JB262196:JB262210 SX262196:SX262210 ACT262196:ACT262210 AMP262196:AMP262210 AWL262196:AWL262210 BGH262196:BGH262210 BQD262196:BQD262210 BZZ262196:BZZ262210 CJV262196:CJV262210 CTR262196:CTR262210 DDN262196:DDN262210 DNJ262196:DNJ262210 DXF262196:DXF262210 EHB262196:EHB262210 EQX262196:EQX262210 FAT262196:FAT262210 FKP262196:FKP262210 FUL262196:FUL262210 GEH262196:GEH262210 GOD262196:GOD262210 GXZ262196:GXZ262210 HHV262196:HHV262210 HRR262196:HRR262210 IBN262196:IBN262210 ILJ262196:ILJ262210 IVF262196:IVF262210 JFB262196:JFB262210 JOX262196:JOX262210 JYT262196:JYT262210 KIP262196:KIP262210 KSL262196:KSL262210 LCH262196:LCH262210 LMD262196:LMD262210 LVZ262196:LVZ262210 MFV262196:MFV262210 MPR262196:MPR262210 MZN262196:MZN262210 NJJ262196:NJJ262210 NTF262196:NTF262210 ODB262196:ODB262210 OMX262196:OMX262210 OWT262196:OWT262210 PGP262196:PGP262210 PQL262196:PQL262210 QAH262196:QAH262210 QKD262196:QKD262210 QTZ262196:QTZ262210 RDV262196:RDV262210 RNR262196:RNR262210 RXN262196:RXN262210 SHJ262196:SHJ262210 SRF262196:SRF262210 TBB262196:TBB262210 TKX262196:TKX262210 TUT262196:TUT262210 UEP262196:UEP262210 UOL262196:UOL262210 UYH262196:UYH262210 VID262196:VID262210 VRZ262196:VRZ262210 WBV262196:WBV262210 WLR262196:WLR262210 WVN262196:WVN262210 F327732:F327746 JB327732:JB327746 SX327732:SX327746 ACT327732:ACT327746 AMP327732:AMP327746 AWL327732:AWL327746 BGH327732:BGH327746 BQD327732:BQD327746 BZZ327732:BZZ327746 CJV327732:CJV327746 CTR327732:CTR327746 DDN327732:DDN327746 DNJ327732:DNJ327746 DXF327732:DXF327746 EHB327732:EHB327746 EQX327732:EQX327746 FAT327732:FAT327746 FKP327732:FKP327746 FUL327732:FUL327746 GEH327732:GEH327746 GOD327732:GOD327746 GXZ327732:GXZ327746 HHV327732:HHV327746 HRR327732:HRR327746 IBN327732:IBN327746 ILJ327732:ILJ327746 IVF327732:IVF327746 JFB327732:JFB327746 JOX327732:JOX327746 JYT327732:JYT327746 KIP327732:KIP327746 KSL327732:KSL327746 LCH327732:LCH327746 LMD327732:LMD327746 LVZ327732:LVZ327746 MFV327732:MFV327746 MPR327732:MPR327746 MZN327732:MZN327746 NJJ327732:NJJ327746 NTF327732:NTF327746 ODB327732:ODB327746 OMX327732:OMX327746 OWT327732:OWT327746 PGP327732:PGP327746 PQL327732:PQL327746 QAH327732:QAH327746 QKD327732:QKD327746 QTZ327732:QTZ327746 RDV327732:RDV327746 RNR327732:RNR327746 RXN327732:RXN327746 SHJ327732:SHJ327746 SRF327732:SRF327746 TBB327732:TBB327746 TKX327732:TKX327746 TUT327732:TUT327746 UEP327732:UEP327746 UOL327732:UOL327746 UYH327732:UYH327746 VID327732:VID327746 VRZ327732:VRZ327746 WBV327732:WBV327746 WLR327732:WLR327746 WVN327732:WVN327746 F393268:F393282 JB393268:JB393282 SX393268:SX393282 ACT393268:ACT393282 AMP393268:AMP393282 AWL393268:AWL393282 BGH393268:BGH393282 BQD393268:BQD393282 BZZ393268:BZZ393282 CJV393268:CJV393282 CTR393268:CTR393282 DDN393268:DDN393282 DNJ393268:DNJ393282 DXF393268:DXF393282 EHB393268:EHB393282 EQX393268:EQX393282 FAT393268:FAT393282 FKP393268:FKP393282 FUL393268:FUL393282 GEH393268:GEH393282 GOD393268:GOD393282 GXZ393268:GXZ393282 HHV393268:HHV393282 HRR393268:HRR393282 IBN393268:IBN393282 ILJ393268:ILJ393282 IVF393268:IVF393282 JFB393268:JFB393282 JOX393268:JOX393282 JYT393268:JYT393282 KIP393268:KIP393282 KSL393268:KSL393282 LCH393268:LCH393282 LMD393268:LMD393282 LVZ393268:LVZ393282 MFV393268:MFV393282 MPR393268:MPR393282 MZN393268:MZN393282 NJJ393268:NJJ393282 NTF393268:NTF393282 ODB393268:ODB393282 OMX393268:OMX393282 OWT393268:OWT393282 PGP393268:PGP393282 PQL393268:PQL393282 QAH393268:QAH393282 QKD393268:QKD393282 QTZ393268:QTZ393282 RDV393268:RDV393282 RNR393268:RNR393282 RXN393268:RXN393282 SHJ393268:SHJ393282 SRF393268:SRF393282 TBB393268:TBB393282 TKX393268:TKX393282 TUT393268:TUT393282 UEP393268:UEP393282 UOL393268:UOL393282 UYH393268:UYH393282 VID393268:VID393282 VRZ393268:VRZ393282 WBV393268:WBV393282 WLR393268:WLR393282 WVN393268:WVN393282 F458804:F458818 JB458804:JB458818 SX458804:SX458818 ACT458804:ACT458818 AMP458804:AMP458818 AWL458804:AWL458818 BGH458804:BGH458818 BQD458804:BQD458818 BZZ458804:BZZ458818 CJV458804:CJV458818 CTR458804:CTR458818 DDN458804:DDN458818 DNJ458804:DNJ458818 DXF458804:DXF458818 EHB458804:EHB458818 EQX458804:EQX458818 FAT458804:FAT458818 FKP458804:FKP458818 FUL458804:FUL458818 GEH458804:GEH458818 GOD458804:GOD458818 GXZ458804:GXZ458818 HHV458804:HHV458818 HRR458804:HRR458818 IBN458804:IBN458818 ILJ458804:ILJ458818 IVF458804:IVF458818 JFB458804:JFB458818 JOX458804:JOX458818 JYT458804:JYT458818 KIP458804:KIP458818 KSL458804:KSL458818 LCH458804:LCH458818 LMD458804:LMD458818 LVZ458804:LVZ458818 MFV458804:MFV458818 MPR458804:MPR458818 MZN458804:MZN458818 NJJ458804:NJJ458818 NTF458804:NTF458818 ODB458804:ODB458818 OMX458804:OMX458818 OWT458804:OWT458818 PGP458804:PGP458818 PQL458804:PQL458818 QAH458804:QAH458818 QKD458804:QKD458818 QTZ458804:QTZ458818 RDV458804:RDV458818 RNR458804:RNR458818 RXN458804:RXN458818 SHJ458804:SHJ458818 SRF458804:SRF458818 TBB458804:TBB458818 TKX458804:TKX458818 TUT458804:TUT458818 UEP458804:UEP458818 UOL458804:UOL458818 UYH458804:UYH458818 VID458804:VID458818 VRZ458804:VRZ458818 WBV458804:WBV458818 WLR458804:WLR458818 WVN458804:WVN458818 F524340:F524354 JB524340:JB524354 SX524340:SX524354 ACT524340:ACT524354 AMP524340:AMP524354 AWL524340:AWL524354 BGH524340:BGH524354 BQD524340:BQD524354 BZZ524340:BZZ524354 CJV524340:CJV524354 CTR524340:CTR524354 DDN524340:DDN524354 DNJ524340:DNJ524354 DXF524340:DXF524354 EHB524340:EHB524354 EQX524340:EQX524354 FAT524340:FAT524354 FKP524340:FKP524354 FUL524340:FUL524354 GEH524340:GEH524354 GOD524340:GOD524354 GXZ524340:GXZ524354 HHV524340:HHV524354 HRR524340:HRR524354 IBN524340:IBN524354 ILJ524340:ILJ524354 IVF524340:IVF524354 JFB524340:JFB524354 JOX524340:JOX524354 JYT524340:JYT524354 KIP524340:KIP524354 KSL524340:KSL524354 LCH524340:LCH524354 LMD524340:LMD524354 LVZ524340:LVZ524354 MFV524340:MFV524354 MPR524340:MPR524354 MZN524340:MZN524354 NJJ524340:NJJ524354 NTF524340:NTF524354 ODB524340:ODB524354 OMX524340:OMX524354 OWT524340:OWT524354 PGP524340:PGP524354 PQL524340:PQL524354 QAH524340:QAH524354 QKD524340:QKD524354 QTZ524340:QTZ524354 RDV524340:RDV524354 RNR524340:RNR524354 RXN524340:RXN524354 SHJ524340:SHJ524354 SRF524340:SRF524354 TBB524340:TBB524354 TKX524340:TKX524354 TUT524340:TUT524354 UEP524340:UEP524354 UOL524340:UOL524354 UYH524340:UYH524354 VID524340:VID524354 VRZ524340:VRZ524354 WBV524340:WBV524354 WLR524340:WLR524354 WVN524340:WVN524354 F589876:F589890 JB589876:JB589890 SX589876:SX589890 ACT589876:ACT589890 AMP589876:AMP589890 AWL589876:AWL589890 BGH589876:BGH589890 BQD589876:BQD589890 BZZ589876:BZZ589890 CJV589876:CJV589890 CTR589876:CTR589890 DDN589876:DDN589890 DNJ589876:DNJ589890 DXF589876:DXF589890 EHB589876:EHB589890 EQX589876:EQX589890 FAT589876:FAT589890 FKP589876:FKP589890 FUL589876:FUL589890 GEH589876:GEH589890 GOD589876:GOD589890 GXZ589876:GXZ589890 HHV589876:HHV589890 HRR589876:HRR589890 IBN589876:IBN589890 ILJ589876:ILJ589890 IVF589876:IVF589890 JFB589876:JFB589890 JOX589876:JOX589890 JYT589876:JYT589890 KIP589876:KIP589890 KSL589876:KSL589890 LCH589876:LCH589890 LMD589876:LMD589890 LVZ589876:LVZ589890 MFV589876:MFV589890 MPR589876:MPR589890 MZN589876:MZN589890 NJJ589876:NJJ589890 NTF589876:NTF589890 ODB589876:ODB589890 OMX589876:OMX589890 OWT589876:OWT589890 PGP589876:PGP589890 PQL589876:PQL589890 QAH589876:QAH589890 QKD589876:QKD589890 QTZ589876:QTZ589890 RDV589876:RDV589890 RNR589876:RNR589890 RXN589876:RXN589890 SHJ589876:SHJ589890 SRF589876:SRF589890 TBB589876:TBB589890 TKX589876:TKX589890 TUT589876:TUT589890 UEP589876:UEP589890 UOL589876:UOL589890 UYH589876:UYH589890 VID589876:VID589890 VRZ589876:VRZ589890 WBV589876:WBV589890 WLR589876:WLR589890 WVN589876:WVN589890 F655412:F655426 JB655412:JB655426 SX655412:SX655426 ACT655412:ACT655426 AMP655412:AMP655426 AWL655412:AWL655426 BGH655412:BGH655426 BQD655412:BQD655426 BZZ655412:BZZ655426 CJV655412:CJV655426 CTR655412:CTR655426 DDN655412:DDN655426 DNJ655412:DNJ655426 DXF655412:DXF655426 EHB655412:EHB655426 EQX655412:EQX655426 FAT655412:FAT655426 FKP655412:FKP655426 FUL655412:FUL655426 GEH655412:GEH655426 GOD655412:GOD655426 GXZ655412:GXZ655426 HHV655412:HHV655426 HRR655412:HRR655426 IBN655412:IBN655426 ILJ655412:ILJ655426 IVF655412:IVF655426 JFB655412:JFB655426 JOX655412:JOX655426 JYT655412:JYT655426 KIP655412:KIP655426 KSL655412:KSL655426 LCH655412:LCH655426 LMD655412:LMD655426 LVZ655412:LVZ655426 MFV655412:MFV655426 MPR655412:MPR655426 MZN655412:MZN655426 NJJ655412:NJJ655426 NTF655412:NTF655426 ODB655412:ODB655426 OMX655412:OMX655426 OWT655412:OWT655426 PGP655412:PGP655426 PQL655412:PQL655426 QAH655412:QAH655426 QKD655412:QKD655426 QTZ655412:QTZ655426 RDV655412:RDV655426 RNR655412:RNR655426 RXN655412:RXN655426 SHJ655412:SHJ655426 SRF655412:SRF655426 TBB655412:TBB655426 TKX655412:TKX655426 TUT655412:TUT655426 UEP655412:UEP655426 UOL655412:UOL655426 UYH655412:UYH655426 VID655412:VID655426 VRZ655412:VRZ655426 WBV655412:WBV655426 WLR655412:WLR655426 WVN655412:WVN655426 F720948:F720962 JB720948:JB720962 SX720948:SX720962 ACT720948:ACT720962 AMP720948:AMP720962 AWL720948:AWL720962 BGH720948:BGH720962 BQD720948:BQD720962 BZZ720948:BZZ720962 CJV720948:CJV720962 CTR720948:CTR720962 DDN720948:DDN720962 DNJ720948:DNJ720962 DXF720948:DXF720962 EHB720948:EHB720962 EQX720948:EQX720962 FAT720948:FAT720962 FKP720948:FKP720962 FUL720948:FUL720962 GEH720948:GEH720962 GOD720948:GOD720962 GXZ720948:GXZ720962 HHV720948:HHV720962 HRR720948:HRR720962 IBN720948:IBN720962 ILJ720948:ILJ720962 IVF720948:IVF720962 JFB720948:JFB720962 JOX720948:JOX720962 JYT720948:JYT720962 KIP720948:KIP720962 KSL720948:KSL720962 LCH720948:LCH720962 LMD720948:LMD720962 LVZ720948:LVZ720962 MFV720948:MFV720962 MPR720948:MPR720962 MZN720948:MZN720962 NJJ720948:NJJ720962 NTF720948:NTF720962 ODB720948:ODB720962 OMX720948:OMX720962 OWT720948:OWT720962 PGP720948:PGP720962 PQL720948:PQL720962 QAH720948:QAH720962 QKD720948:QKD720962 QTZ720948:QTZ720962 RDV720948:RDV720962 RNR720948:RNR720962 RXN720948:RXN720962 SHJ720948:SHJ720962 SRF720948:SRF720962 TBB720948:TBB720962 TKX720948:TKX720962 TUT720948:TUT720962 UEP720948:UEP720962 UOL720948:UOL720962 UYH720948:UYH720962 VID720948:VID720962 VRZ720948:VRZ720962 WBV720948:WBV720962 WLR720948:WLR720962 WVN720948:WVN720962 F786484:F786498 JB786484:JB786498 SX786484:SX786498 ACT786484:ACT786498 AMP786484:AMP786498 AWL786484:AWL786498 BGH786484:BGH786498 BQD786484:BQD786498 BZZ786484:BZZ786498 CJV786484:CJV786498 CTR786484:CTR786498 DDN786484:DDN786498 DNJ786484:DNJ786498 DXF786484:DXF786498 EHB786484:EHB786498 EQX786484:EQX786498 FAT786484:FAT786498 FKP786484:FKP786498 FUL786484:FUL786498 GEH786484:GEH786498 GOD786484:GOD786498 GXZ786484:GXZ786498 HHV786484:HHV786498 HRR786484:HRR786498 IBN786484:IBN786498 ILJ786484:ILJ786498 IVF786484:IVF786498 JFB786484:JFB786498 JOX786484:JOX786498 JYT786484:JYT786498 KIP786484:KIP786498 KSL786484:KSL786498 LCH786484:LCH786498 LMD786484:LMD786498 LVZ786484:LVZ786498 MFV786484:MFV786498 MPR786484:MPR786498 MZN786484:MZN786498 NJJ786484:NJJ786498 NTF786484:NTF786498 ODB786484:ODB786498 OMX786484:OMX786498 OWT786484:OWT786498 PGP786484:PGP786498 PQL786484:PQL786498 QAH786484:QAH786498 QKD786484:QKD786498 QTZ786484:QTZ786498 RDV786484:RDV786498 RNR786484:RNR786498 RXN786484:RXN786498 SHJ786484:SHJ786498 SRF786484:SRF786498 TBB786484:TBB786498 TKX786484:TKX786498 TUT786484:TUT786498 UEP786484:UEP786498 UOL786484:UOL786498 UYH786484:UYH786498 VID786484:VID786498 VRZ786484:VRZ786498 WBV786484:WBV786498 WLR786484:WLR786498 WVN786484:WVN786498 F852020:F852034 JB852020:JB852034 SX852020:SX852034 ACT852020:ACT852034 AMP852020:AMP852034 AWL852020:AWL852034 BGH852020:BGH852034 BQD852020:BQD852034 BZZ852020:BZZ852034 CJV852020:CJV852034 CTR852020:CTR852034 DDN852020:DDN852034 DNJ852020:DNJ852034 DXF852020:DXF852034 EHB852020:EHB852034 EQX852020:EQX852034 FAT852020:FAT852034 FKP852020:FKP852034 FUL852020:FUL852034 GEH852020:GEH852034 GOD852020:GOD852034 GXZ852020:GXZ852034 HHV852020:HHV852034 HRR852020:HRR852034 IBN852020:IBN852034 ILJ852020:ILJ852034 IVF852020:IVF852034 JFB852020:JFB852034 JOX852020:JOX852034 JYT852020:JYT852034 KIP852020:KIP852034 KSL852020:KSL852034 LCH852020:LCH852034 LMD852020:LMD852034 LVZ852020:LVZ852034 MFV852020:MFV852034 MPR852020:MPR852034 MZN852020:MZN852034 NJJ852020:NJJ852034 NTF852020:NTF852034 ODB852020:ODB852034 OMX852020:OMX852034 OWT852020:OWT852034 PGP852020:PGP852034 PQL852020:PQL852034 QAH852020:QAH852034 QKD852020:QKD852034 QTZ852020:QTZ852034 RDV852020:RDV852034 RNR852020:RNR852034 RXN852020:RXN852034 SHJ852020:SHJ852034 SRF852020:SRF852034 TBB852020:TBB852034 TKX852020:TKX852034 TUT852020:TUT852034 UEP852020:UEP852034 UOL852020:UOL852034 UYH852020:UYH852034 VID852020:VID852034 VRZ852020:VRZ852034 WBV852020:WBV852034 WLR852020:WLR852034 WVN852020:WVN852034 F917556:F917570 JB917556:JB917570 SX917556:SX917570 ACT917556:ACT917570 AMP917556:AMP917570 AWL917556:AWL917570 BGH917556:BGH917570 BQD917556:BQD917570 BZZ917556:BZZ917570 CJV917556:CJV917570 CTR917556:CTR917570 DDN917556:DDN917570 DNJ917556:DNJ917570 DXF917556:DXF917570 EHB917556:EHB917570 EQX917556:EQX917570 FAT917556:FAT917570 FKP917556:FKP917570 FUL917556:FUL917570 GEH917556:GEH917570 GOD917556:GOD917570 GXZ917556:GXZ917570 HHV917556:HHV917570 HRR917556:HRR917570 IBN917556:IBN917570 ILJ917556:ILJ917570 IVF917556:IVF917570 JFB917556:JFB917570 JOX917556:JOX917570 JYT917556:JYT917570 KIP917556:KIP917570 KSL917556:KSL917570 LCH917556:LCH917570 LMD917556:LMD917570 LVZ917556:LVZ917570 MFV917556:MFV917570 MPR917556:MPR917570 MZN917556:MZN917570 NJJ917556:NJJ917570 NTF917556:NTF917570 ODB917556:ODB917570 OMX917556:OMX917570 OWT917556:OWT917570 PGP917556:PGP917570 PQL917556:PQL917570 QAH917556:QAH917570 QKD917556:QKD917570 QTZ917556:QTZ917570 RDV917556:RDV917570 RNR917556:RNR917570 RXN917556:RXN917570 SHJ917556:SHJ917570 SRF917556:SRF917570 TBB917556:TBB917570 TKX917556:TKX917570 TUT917556:TUT917570 UEP917556:UEP917570 UOL917556:UOL917570 UYH917556:UYH917570 VID917556:VID917570 VRZ917556:VRZ917570 WBV917556:WBV917570 WLR917556:WLR917570 WVN917556:WVN917570 F983092:F983106 JB983092:JB983106 SX983092:SX983106 ACT983092:ACT983106 AMP983092:AMP983106 AWL983092:AWL983106 BGH983092:BGH983106 BQD983092:BQD983106 BZZ983092:BZZ983106 CJV983092:CJV983106 CTR983092:CTR983106 DDN983092:DDN983106 DNJ983092:DNJ983106 DXF983092:DXF983106 EHB983092:EHB983106 EQX983092:EQX983106 FAT983092:FAT983106 FKP983092:FKP983106 FUL983092:FUL983106 GEH983092:GEH983106 GOD983092:GOD983106 GXZ983092:GXZ983106 HHV983092:HHV983106 HRR983092:HRR983106 IBN983092:IBN983106 ILJ983092:ILJ983106 IVF983092:IVF983106 JFB983092:JFB983106 JOX983092:JOX983106 JYT983092:JYT983106 KIP983092:KIP983106 KSL983092:KSL983106 LCH983092:LCH983106 LMD983092:LMD983106 LVZ983092:LVZ983106 MFV983092:MFV983106 MPR983092:MPR983106 MZN983092:MZN983106 NJJ983092:NJJ983106 NTF983092:NTF983106 ODB983092:ODB983106 OMX983092:OMX983106 OWT983092:OWT983106 PGP983092:PGP983106 PQL983092:PQL983106 QAH983092:QAH983106 QKD983092:QKD983106 QTZ983092:QTZ983106 RDV983092:RDV983106 RNR983092:RNR983106 RXN983092:RXN983106 SHJ983092:SHJ983106 SRF983092:SRF983106 TBB983092:TBB983106 TKX983092:TKX983106 TUT983092:TUT983106 UEP983092:UEP983106 UOL983092:UOL983106 UYH983092:UYH983106 VID983092:VID983106 VRZ983092:VRZ983106 WBV983092:WBV983106 WLR983092:WLR983106 WVN983092:WVN983106 WVN983052:WVN983061 JB12:JB21 SX12:SX21 ACT12:ACT21 AMP12:AMP21 AWL12:AWL21 BGH12:BGH21 BQD12:BQD21 BZZ12:BZZ21 CJV12:CJV21 CTR12:CTR21 DDN12:DDN21 DNJ12:DNJ21 DXF12:DXF21 EHB12:EHB21 EQX12:EQX21 FAT12:FAT21 FKP12:FKP21 FUL12:FUL21 GEH12:GEH21 GOD12:GOD21 GXZ12:GXZ21 HHV12:HHV21 HRR12:HRR21 IBN12:IBN21 ILJ12:ILJ21 IVF12:IVF21 JFB12:JFB21 JOX12:JOX21 JYT12:JYT21 KIP12:KIP21 KSL12:KSL21 LCH12:LCH21 LMD12:LMD21 LVZ12:LVZ21 MFV12:MFV21 MPR12:MPR21 MZN12:MZN21 NJJ12:NJJ21 NTF12:NTF21 ODB12:ODB21 OMX12:OMX21 OWT12:OWT21 PGP12:PGP21 PQL12:PQL21 QAH12:QAH21 QKD12:QKD21 QTZ12:QTZ21 RDV12:RDV21 RNR12:RNR21 RXN12:RXN21 SHJ12:SHJ21 SRF12:SRF21 TBB12:TBB21 TKX12:TKX21 TUT12:TUT21 UEP12:UEP21 UOL12:UOL21 UYH12:UYH21 VID12:VID21 VRZ12:VRZ21 WBV12:WBV21 WLR12:WLR21 WVN12:WVN21 F65548:F65557 JB65548:JB65557 SX65548:SX65557 ACT65548:ACT65557 AMP65548:AMP65557 AWL65548:AWL65557 BGH65548:BGH65557 BQD65548:BQD65557 BZZ65548:BZZ65557 CJV65548:CJV65557 CTR65548:CTR65557 DDN65548:DDN65557 DNJ65548:DNJ65557 DXF65548:DXF65557 EHB65548:EHB65557 EQX65548:EQX65557 FAT65548:FAT65557 FKP65548:FKP65557 FUL65548:FUL65557 GEH65548:GEH65557 GOD65548:GOD65557 GXZ65548:GXZ65557 HHV65548:HHV65557 HRR65548:HRR65557 IBN65548:IBN65557 ILJ65548:ILJ65557 IVF65548:IVF65557 JFB65548:JFB65557 JOX65548:JOX65557 JYT65548:JYT65557 KIP65548:KIP65557 KSL65548:KSL65557 LCH65548:LCH65557 LMD65548:LMD65557 LVZ65548:LVZ65557 MFV65548:MFV65557 MPR65548:MPR65557 MZN65548:MZN65557 NJJ65548:NJJ65557 NTF65548:NTF65557 ODB65548:ODB65557 OMX65548:OMX65557 OWT65548:OWT65557 PGP65548:PGP65557 PQL65548:PQL65557 QAH65548:QAH65557 QKD65548:QKD65557 QTZ65548:QTZ65557 RDV65548:RDV65557 RNR65548:RNR65557 RXN65548:RXN65557 SHJ65548:SHJ65557 SRF65548:SRF65557 TBB65548:TBB65557 TKX65548:TKX65557 TUT65548:TUT65557 UEP65548:UEP65557 UOL65548:UOL65557 UYH65548:UYH65557 VID65548:VID65557 VRZ65548:VRZ65557 WBV65548:WBV65557 WLR65548:WLR65557 WVN65548:WVN65557 F131084:F131093 JB131084:JB131093 SX131084:SX131093 ACT131084:ACT131093 AMP131084:AMP131093 AWL131084:AWL131093 BGH131084:BGH131093 BQD131084:BQD131093 BZZ131084:BZZ131093 CJV131084:CJV131093 CTR131084:CTR131093 DDN131084:DDN131093 DNJ131084:DNJ131093 DXF131084:DXF131093 EHB131084:EHB131093 EQX131084:EQX131093 FAT131084:FAT131093 FKP131084:FKP131093 FUL131084:FUL131093 GEH131084:GEH131093 GOD131084:GOD131093 GXZ131084:GXZ131093 HHV131084:HHV131093 HRR131084:HRR131093 IBN131084:IBN131093 ILJ131084:ILJ131093 IVF131084:IVF131093 JFB131084:JFB131093 JOX131084:JOX131093 JYT131084:JYT131093 KIP131084:KIP131093 KSL131084:KSL131093 LCH131084:LCH131093 LMD131084:LMD131093 LVZ131084:LVZ131093 MFV131084:MFV131093 MPR131084:MPR131093 MZN131084:MZN131093 NJJ131084:NJJ131093 NTF131084:NTF131093 ODB131084:ODB131093 OMX131084:OMX131093 OWT131084:OWT131093 PGP131084:PGP131093 PQL131084:PQL131093 QAH131084:QAH131093 QKD131084:QKD131093 QTZ131084:QTZ131093 RDV131084:RDV131093 RNR131084:RNR131093 RXN131084:RXN131093 SHJ131084:SHJ131093 SRF131084:SRF131093 TBB131084:TBB131093 TKX131084:TKX131093 TUT131084:TUT131093 UEP131084:UEP131093 UOL131084:UOL131093 UYH131084:UYH131093 VID131084:VID131093 VRZ131084:VRZ131093 WBV131084:WBV131093 WLR131084:WLR131093 WVN131084:WVN131093 F196620:F196629 JB196620:JB196629 SX196620:SX196629 ACT196620:ACT196629 AMP196620:AMP196629 AWL196620:AWL196629 BGH196620:BGH196629 BQD196620:BQD196629 BZZ196620:BZZ196629 CJV196620:CJV196629 CTR196620:CTR196629 DDN196620:DDN196629 DNJ196620:DNJ196629 DXF196620:DXF196629 EHB196620:EHB196629 EQX196620:EQX196629 FAT196620:FAT196629 FKP196620:FKP196629 FUL196620:FUL196629 GEH196620:GEH196629 GOD196620:GOD196629 GXZ196620:GXZ196629 HHV196620:HHV196629 HRR196620:HRR196629 IBN196620:IBN196629 ILJ196620:ILJ196629 IVF196620:IVF196629 JFB196620:JFB196629 JOX196620:JOX196629 JYT196620:JYT196629 KIP196620:KIP196629 KSL196620:KSL196629 LCH196620:LCH196629 LMD196620:LMD196629 LVZ196620:LVZ196629 MFV196620:MFV196629 MPR196620:MPR196629 MZN196620:MZN196629 NJJ196620:NJJ196629 NTF196620:NTF196629 ODB196620:ODB196629 OMX196620:OMX196629 OWT196620:OWT196629 PGP196620:PGP196629 PQL196620:PQL196629 QAH196620:QAH196629 QKD196620:QKD196629 QTZ196620:QTZ196629 RDV196620:RDV196629 RNR196620:RNR196629 RXN196620:RXN196629 SHJ196620:SHJ196629 SRF196620:SRF196629 TBB196620:TBB196629 TKX196620:TKX196629 TUT196620:TUT196629 UEP196620:UEP196629 UOL196620:UOL196629 UYH196620:UYH196629 VID196620:VID196629 VRZ196620:VRZ196629 WBV196620:WBV196629 WLR196620:WLR196629 WVN196620:WVN196629 F262156:F262165 JB262156:JB262165 SX262156:SX262165 ACT262156:ACT262165 AMP262156:AMP262165 AWL262156:AWL262165 BGH262156:BGH262165 BQD262156:BQD262165 BZZ262156:BZZ262165 CJV262156:CJV262165 CTR262156:CTR262165 DDN262156:DDN262165 DNJ262156:DNJ262165 DXF262156:DXF262165 EHB262156:EHB262165 EQX262156:EQX262165 FAT262156:FAT262165 FKP262156:FKP262165 FUL262156:FUL262165 GEH262156:GEH262165 GOD262156:GOD262165 GXZ262156:GXZ262165 HHV262156:HHV262165 HRR262156:HRR262165 IBN262156:IBN262165 ILJ262156:ILJ262165 IVF262156:IVF262165 JFB262156:JFB262165 JOX262156:JOX262165 JYT262156:JYT262165 KIP262156:KIP262165 KSL262156:KSL262165 LCH262156:LCH262165 LMD262156:LMD262165 LVZ262156:LVZ262165 MFV262156:MFV262165 MPR262156:MPR262165 MZN262156:MZN262165 NJJ262156:NJJ262165 NTF262156:NTF262165 ODB262156:ODB262165 OMX262156:OMX262165 OWT262156:OWT262165 PGP262156:PGP262165 PQL262156:PQL262165 QAH262156:QAH262165 QKD262156:QKD262165 QTZ262156:QTZ262165 RDV262156:RDV262165 RNR262156:RNR262165 RXN262156:RXN262165 SHJ262156:SHJ262165 SRF262156:SRF262165 TBB262156:TBB262165 TKX262156:TKX262165 TUT262156:TUT262165 UEP262156:UEP262165 UOL262156:UOL262165 UYH262156:UYH262165 VID262156:VID262165 VRZ262156:VRZ262165 WBV262156:WBV262165 WLR262156:WLR262165 WVN262156:WVN262165 F327692:F327701 JB327692:JB327701 SX327692:SX327701 ACT327692:ACT327701 AMP327692:AMP327701 AWL327692:AWL327701 BGH327692:BGH327701 BQD327692:BQD327701 BZZ327692:BZZ327701 CJV327692:CJV327701 CTR327692:CTR327701 DDN327692:DDN327701 DNJ327692:DNJ327701 DXF327692:DXF327701 EHB327692:EHB327701 EQX327692:EQX327701 FAT327692:FAT327701 FKP327692:FKP327701 FUL327692:FUL327701 GEH327692:GEH327701 GOD327692:GOD327701 GXZ327692:GXZ327701 HHV327692:HHV327701 HRR327692:HRR327701 IBN327692:IBN327701 ILJ327692:ILJ327701 IVF327692:IVF327701 JFB327692:JFB327701 JOX327692:JOX327701 JYT327692:JYT327701 KIP327692:KIP327701 KSL327692:KSL327701 LCH327692:LCH327701 LMD327692:LMD327701 LVZ327692:LVZ327701 MFV327692:MFV327701 MPR327692:MPR327701 MZN327692:MZN327701 NJJ327692:NJJ327701 NTF327692:NTF327701 ODB327692:ODB327701 OMX327692:OMX327701 OWT327692:OWT327701 PGP327692:PGP327701 PQL327692:PQL327701 QAH327692:QAH327701 QKD327692:QKD327701 QTZ327692:QTZ327701 RDV327692:RDV327701 RNR327692:RNR327701 RXN327692:RXN327701 SHJ327692:SHJ327701 SRF327692:SRF327701 TBB327692:TBB327701 TKX327692:TKX327701 TUT327692:TUT327701 UEP327692:UEP327701 UOL327692:UOL327701 UYH327692:UYH327701 VID327692:VID327701 VRZ327692:VRZ327701 WBV327692:WBV327701 WLR327692:WLR327701 WVN327692:WVN327701 F393228:F393237 JB393228:JB393237 SX393228:SX393237 ACT393228:ACT393237 AMP393228:AMP393237 AWL393228:AWL393237 BGH393228:BGH393237 BQD393228:BQD393237 BZZ393228:BZZ393237 CJV393228:CJV393237 CTR393228:CTR393237 DDN393228:DDN393237 DNJ393228:DNJ393237 DXF393228:DXF393237 EHB393228:EHB393237 EQX393228:EQX393237 FAT393228:FAT393237 FKP393228:FKP393237 FUL393228:FUL393237 GEH393228:GEH393237 GOD393228:GOD393237 GXZ393228:GXZ393237 HHV393228:HHV393237 HRR393228:HRR393237 IBN393228:IBN393237 ILJ393228:ILJ393237 IVF393228:IVF393237 JFB393228:JFB393237 JOX393228:JOX393237 JYT393228:JYT393237 KIP393228:KIP393237 KSL393228:KSL393237 LCH393228:LCH393237 LMD393228:LMD393237 LVZ393228:LVZ393237 MFV393228:MFV393237 MPR393228:MPR393237 MZN393228:MZN393237 NJJ393228:NJJ393237 NTF393228:NTF393237 ODB393228:ODB393237 OMX393228:OMX393237 OWT393228:OWT393237 PGP393228:PGP393237 PQL393228:PQL393237 QAH393228:QAH393237 QKD393228:QKD393237 QTZ393228:QTZ393237 RDV393228:RDV393237 RNR393228:RNR393237 RXN393228:RXN393237 SHJ393228:SHJ393237 SRF393228:SRF393237 TBB393228:TBB393237 TKX393228:TKX393237 TUT393228:TUT393237 UEP393228:UEP393237 UOL393228:UOL393237 UYH393228:UYH393237 VID393228:VID393237 VRZ393228:VRZ393237 WBV393228:WBV393237 WLR393228:WLR393237 WVN393228:WVN393237 F458764:F458773 JB458764:JB458773 SX458764:SX458773 ACT458764:ACT458773 AMP458764:AMP458773 AWL458764:AWL458773 BGH458764:BGH458773 BQD458764:BQD458773 BZZ458764:BZZ458773 CJV458764:CJV458773 CTR458764:CTR458773 DDN458764:DDN458773 DNJ458764:DNJ458773 DXF458764:DXF458773 EHB458764:EHB458773 EQX458764:EQX458773 FAT458764:FAT458773 FKP458764:FKP458773 FUL458764:FUL458773 GEH458764:GEH458773 GOD458764:GOD458773 GXZ458764:GXZ458773 HHV458764:HHV458773 HRR458764:HRR458773 IBN458764:IBN458773 ILJ458764:ILJ458773 IVF458764:IVF458773 JFB458764:JFB458773 JOX458764:JOX458773 JYT458764:JYT458773 KIP458764:KIP458773 KSL458764:KSL458773 LCH458764:LCH458773 LMD458764:LMD458773 LVZ458764:LVZ458773 MFV458764:MFV458773 MPR458764:MPR458773 MZN458764:MZN458773 NJJ458764:NJJ458773 NTF458764:NTF458773 ODB458764:ODB458773 OMX458764:OMX458773 OWT458764:OWT458773 PGP458764:PGP458773 PQL458764:PQL458773 QAH458764:QAH458773 QKD458764:QKD458773 QTZ458764:QTZ458773 RDV458764:RDV458773 RNR458764:RNR458773 RXN458764:RXN458773 SHJ458764:SHJ458773 SRF458764:SRF458773 TBB458764:TBB458773 TKX458764:TKX458773 TUT458764:TUT458773 UEP458764:UEP458773 UOL458764:UOL458773 UYH458764:UYH458773 VID458764:VID458773 VRZ458764:VRZ458773 WBV458764:WBV458773 WLR458764:WLR458773 WVN458764:WVN458773 F524300:F524309 JB524300:JB524309 SX524300:SX524309 ACT524300:ACT524309 AMP524300:AMP524309 AWL524300:AWL524309 BGH524300:BGH524309 BQD524300:BQD524309 BZZ524300:BZZ524309 CJV524300:CJV524309 CTR524300:CTR524309 DDN524300:DDN524309 DNJ524300:DNJ524309 DXF524300:DXF524309 EHB524300:EHB524309 EQX524300:EQX524309 FAT524300:FAT524309 FKP524300:FKP524309 FUL524300:FUL524309 GEH524300:GEH524309 GOD524300:GOD524309 GXZ524300:GXZ524309 HHV524300:HHV524309 HRR524300:HRR524309 IBN524300:IBN524309 ILJ524300:ILJ524309 IVF524300:IVF524309 JFB524300:JFB524309 JOX524300:JOX524309 JYT524300:JYT524309 KIP524300:KIP524309 KSL524300:KSL524309 LCH524300:LCH524309 LMD524300:LMD524309 LVZ524300:LVZ524309 MFV524300:MFV524309 MPR524300:MPR524309 MZN524300:MZN524309 NJJ524300:NJJ524309 NTF524300:NTF524309 ODB524300:ODB524309 OMX524300:OMX524309 OWT524300:OWT524309 PGP524300:PGP524309 PQL524300:PQL524309 QAH524300:QAH524309 QKD524300:QKD524309 QTZ524300:QTZ524309 RDV524300:RDV524309 RNR524300:RNR524309 RXN524300:RXN524309 SHJ524300:SHJ524309 SRF524300:SRF524309 TBB524300:TBB524309 TKX524300:TKX524309 TUT524300:TUT524309 UEP524300:UEP524309 UOL524300:UOL524309 UYH524300:UYH524309 VID524300:VID524309 VRZ524300:VRZ524309 WBV524300:WBV524309 WLR524300:WLR524309 WVN524300:WVN524309 F589836:F589845 JB589836:JB589845 SX589836:SX589845 ACT589836:ACT589845 AMP589836:AMP589845 AWL589836:AWL589845 BGH589836:BGH589845 BQD589836:BQD589845 BZZ589836:BZZ589845 CJV589836:CJV589845 CTR589836:CTR589845 DDN589836:DDN589845 DNJ589836:DNJ589845 DXF589836:DXF589845 EHB589836:EHB589845 EQX589836:EQX589845 FAT589836:FAT589845 FKP589836:FKP589845 FUL589836:FUL589845 GEH589836:GEH589845 GOD589836:GOD589845 GXZ589836:GXZ589845 HHV589836:HHV589845 HRR589836:HRR589845 IBN589836:IBN589845 ILJ589836:ILJ589845 IVF589836:IVF589845 JFB589836:JFB589845 JOX589836:JOX589845 JYT589836:JYT589845 KIP589836:KIP589845 KSL589836:KSL589845 LCH589836:LCH589845 LMD589836:LMD589845 LVZ589836:LVZ589845 MFV589836:MFV589845 MPR589836:MPR589845 MZN589836:MZN589845 NJJ589836:NJJ589845 NTF589836:NTF589845 ODB589836:ODB589845 OMX589836:OMX589845 OWT589836:OWT589845 PGP589836:PGP589845 PQL589836:PQL589845 QAH589836:QAH589845 QKD589836:QKD589845 QTZ589836:QTZ589845 RDV589836:RDV589845 RNR589836:RNR589845 RXN589836:RXN589845 SHJ589836:SHJ589845 SRF589836:SRF589845 TBB589836:TBB589845 TKX589836:TKX589845 TUT589836:TUT589845 UEP589836:UEP589845 UOL589836:UOL589845 UYH589836:UYH589845 VID589836:VID589845 VRZ589836:VRZ589845 WBV589836:WBV589845 WLR589836:WLR589845 WVN589836:WVN589845 F655372:F655381 JB655372:JB655381 SX655372:SX655381 ACT655372:ACT655381 AMP655372:AMP655381 AWL655372:AWL655381 BGH655372:BGH655381 BQD655372:BQD655381 BZZ655372:BZZ655381 CJV655372:CJV655381 CTR655372:CTR655381 DDN655372:DDN655381 DNJ655372:DNJ655381 DXF655372:DXF655381 EHB655372:EHB655381 EQX655372:EQX655381 FAT655372:FAT655381 FKP655372:FKP655381 FUL655372:FUL655381 GEH655372:GEH655381 GOD655372:GOD655381 GXZ655372:GXZ655381 HHV655372:HHV655381 HRR655372:HRR655381 IBN655372:IBN655381 ILJ655372:ILJ655381 IVF655372:IVF655381 JFB655372:JFB655381 JOX655372:JOX655381 JYT655372:JYT655381 KIP655372:KIP655381 KSL655372:KSL655381 LCH655372:LCH655381 LMD655372:LMD655381 LVZ655372:LVZ655381 MFV655372:MFV655381 MPR655372:MPR655381 MZN655372:MZN655381 NJJ655372:NJJ655381 NTF655372:NTF655381 ODB655372:ODB655381 OMX655372:OMX655381 OWT655372:OWT655381 PGP655372:PGP655381 PQL655372:PQL655381 QAH655372:QAH655381 QKD655372:QKD655381 QTZ655372:QTZ655381 RDV655372:RDV655381 RNR655372:RNR655381 RXN655372:RXN655381 SHJ655372:SHJ655381 SRF655372:SRF655381 TBB655372:TBB655381 TKX655372:TKX655381 TUT655372:TUT655381 UEP655372:UEP655381 UOL655372:UOL655381 UYH655372:UYH655381 VID655372:VID655381 VRZ655372:VRZ655381 WBV655372:WBV655381 WLR655372:WLR655381 WVN655372:WVN655381 F720908:F720917 JB720908:JB720917 SX720908:SX720917 ACT720908:ACT720917 AMP720908:AMP720917 AWL720908:AWL720917 BGH720908:BGH720917 BQD720908:BQD720917 BZZ720908:BZZ720917 CJV720908:CJV720917 CTR720908:CTR720917 DDN720908:DDN720917 DNJ720908:DNJ720917 DXF720908:DXF720917 EHB720908:EHB720917 EQX720908:EQX720917 FAT720908:FAT720917 FKP720908:FKP720917 FUL720908:FUL720917 GEH720908:GEH720917 GOD720908:GOD720917 GXZ720908:GXZ720917 HHV720908:HHV720917 HRR720908:HRR720917 IBN720908:IBN720917 ILJ720908:ILJ720917 IVF720908:IVF720917 JFB720908:JFB720917 JOX720908:JOX720917 JYT720908:JYT720917 KIP720908:KIP720917 KSL720908:KSL720917 LCH720908:LCH720917 LMD720908:LMD720917 LVZ720908:LVZ720917 MFV720908:MFV720917 MPR720908:MPR720917 MZN720908:MZN720917 NJJ720908:NJJ720917 NTF720908:NTF720917 ODB720908:ODB720917 OMX720908:OMX720917 OWT720908:OWT720917 PGP720908:PGP720917 PQL720908:PQL720917 QAH720908:QAH720917 QKD720908:QKD720917 QTZ720908:QTZ720917 RDV720908:RDV720917 RNR720908:RNR720917 RXN720908:RXN720917 SHJ720908:SHJ720917 SRF720908:SRF720917 TBB720908:TBB720917 TKX720908:TKX720917 TUT720908:TUT720917 UEP720908:UEP720917 UOL720908:UOL720917 UYH720908:UYH720917 VID720908:VID720917 VRZ720908:VRZ720917 WBV720908:WBV720917 WLR720908:WLR720917 WVN720908:WVN720917 F786444:F786453 JB786444:JB786453 SX786444:SX786453 ACT786444:ACT786453 AMP786444:AMP786453 AWL786444:AWL786453 BGH786444:BGH786453 BQD786444:BQD786453 BZZ786444:BZZ786453 CJV786444:CJV786453 CTR786444:CTR786453 DDN786444:DDN786453 DNJ786444:DNJ786453 DXF786444:DXF786453 EHB786444:EHB786453 EQX786444:EQX786453 FAT786444:FAT786453 FKP786444:FKP786453 FUL786444:FUL786453 GEH786444:GEH786453 GOD786444:GOD786453 GXZ786444:GXZ786453 HHV786444:HHV786453 HRR786444:HRR786453 IBN786444:IBN786453 ILJ786444:ILJ786453 IVF786444:IVF786453 JFB786444:JFB786453 JOX786444:JOX786453 JYT786444:JYT786453 KIP786444:KIP786453 KSL786444:KSL786453 LCH786444:LCH786453 LMD786444:LMD786453 LVZ786444:LVZ786453 MFV786444:MFV786453 MPR786444:MPR786453 MZN786444:MZN786453 NJJ786444:NJJ786453 NTF786444:NTF786453 ODB786444:ODB786453 OMX786444:OMX786453 OWT786444:OWT786453 PGP786444:PGP786453 PQL786444:PQL786453 QAH786444:QAH786453 QKD786444:QKD786453 QTZ786444:QTZ786453 RDV786444:RDV786453 RNR786444:RNR786453 RXN786444:RXN786453 SHJ786444:SHJ786453 SRF786444:SRF786453 TBB786444:TBB786453 TKX786444:TKX786453 TUT786444:TUT786453 UEP786444:UEP786453 UOL786444:UOL786453 UYH786444:UYH786453 VID786444:VID786453 VRZ786444:VRZ786453 WBV786444:WBV786453 WLR786444:WLR786453 WVN786444:WVN786453 F851980:F851989 JB851980:JB851989 SX851980:SX851989 ACT851980:ACT851989 AMP851980:AMP851989 AWL851980:AWL851989 BGH851980:BGH851989 BQD851980:BQD851989 BZZ851980:BZZ851989 CJV851980:CJV851989 CTR851980:CTR851989 DDN851980:DDN851989 DNJ851980:DNJ851989 DXF851980:DXF851989 EHB851980:EHB851989 EQX851980:EQX851989 FAT851980:FAT851989 FKP851980:FKP851989 FUL851980:FUL851989 GEH851980:GEH851989 GOD851980:GOD851989 GXZ851980:GXZ851989 HHV851980:HHV851989 HRR851980:HRR851989 IBN851980:IBN851989 ILJ851980:ILJ851989 IVF851980:IVF851989 JFB851980:JFB851989 JOX851980:JOX851989 JYT851980:JYT851989 KIP851980:KIP851989 KSL851980:KSL851989 LCH851980:LCH851989 LMD851980:LMD851989 LVZ851980:LVZ851989 MFV851980:MFV851989 MPR851980:MPR851989 MZN851980:MZN851989 NJJ851980:NJJ851989 NTF851980:NTF851989 ODB851980:ODB851989 OMX851980:OMX851989 OWT851980:OWT851989 PGP851980:PGP851989 PQL851980:PQL851989 QAH851980:QAH851989 QKD851980:QKD851989 QTZ851980:QTZ851989 RDV851980:RDV851989 RNR851980:RNR851989 RXN851980:RXN851989 SHJ851980:SHJ851989 SRF851980:SRF851989 TBB851980:TBB851989 TKX851980:TKX851989 TUT851980:TUT851989 UEP851980:UEP851989 UOL851980:UOL851989 UYH851980:UYH851989 VID851980:VID851989 VRZ851980:VRZ851989 WBV851980:WBV851989 WLR851980:WLR851989 WVN851980:WVN851989 F917516:F917525 JB917516:JB917525 SX917516:SX917525 ACT917516:ACT917525 AMP917516:AMP917525 AWL917516:AWL917525 BGH917516:BGH917525 BQD917516:BQD917525 BZZ917516:BZZ917525 CJV917516:CJV917525 CTR917516:CTR917525 DDN917516:DDN917525 DNJ917516:DNJ917525 DXF917516:DXF917525 EHB917516:EHB917525 EQX917516:EQX917525 FAT917516:FAT917525 FKP917516:FKP917525 FUL917516:FUL917525 GEH917516:GEH917525 GOD917516:GOD917525 GXZ917516:GXZ917525 HHV917516:HHV917525 HRR917516:HRR917525 IBN917516:IBN917525 ILJ917516:ILJ917525 IVF917516:IVF917525 JFB917516:JFB917525 JOX917516:JOX917525 JYT917516:JYT917525 KIP917516:KIP917525 KSL917516:KSL917525 LCH917516:LCH917525 LMD917516:LMD917525 LVZ917516:LVZ917525 MFV917516:MFV917525 MPR917516:MPR917525 MZN917516:MZN917525 NJJ917516:NJJ917525 NTF917516:NTF917525 ODB917516:ODB917525 OMX917516:OMX917525 OWT917516:OWT917525 PGP917516:PGP917525 PQL917516:PQL917525 QAH917516:QAH917525 QKD917516:QKD917525 QTZ917516:QTZ917525 RDV917516:RDV917525 RNR917516:RNR917525 RXN917516:RXN917525 SHJ917516:SHJ917525 SRF917516:SRF917525 TBB917516:TBB917525 TKX917516:TKX917525 TUT917516:TUT917525 UEP917516:UEP917525 UOL917516:UOL917525 UYH917516:UYH917525 VID917516:VID917525 VRZ917516:VRZ917525 WBV917516:WBV917525 WLR917516:WLR917525 WVN917516:WVN917525 F983052:F983061 JB983052:JB983061 SX983052:SX983061 ACT983052:ACT983061 AMP983052:AMP983061 AWL983052:AWL983061 BGH983052:BGH983061 BQD983052:BQD983061 BZZ983052:BZZ983061 CJV983052:CJV983061 CTR983052:CTR983061 DDN983052:DDN983061 DNJ983052:DNJ983061 DXF983052:DXF983061 EHB983052:EHB983061 EQX983052:EQX983061 FAT983052:FAT983061 FKP983052:FKP983061 FUL983052:FUL983061 GEH983052:GEH983061 GOD983052:GOD983061 GXZ983052:GXZ983061 HHV983052:HHV983061 HRR983052:HRR983061 IBN983052:IBN983061 ILJ983052:ILJ983061 IVF983052:IVF983061 JFB983052:JFB983061 JOX983052:JOX983061 JYT983052:JYT983061 KIP983052:KIP983061 KSL983052:KSL983061 LCH983052:LCH983061 LMD983052:LMD983061 LVZ983052:LVZ983061 MFV983052:MFV983061 MPR983052:MPR983061 MZN983052:MZN983061 NJJ983052:NJJ983061 NTF983052:NTF983061 ODB983052:ODB983061 OMX983052:OMX983061 OWT983052:OWT983061 PGP983052:PGP983061 PQL983052:PQL983061 QAH983052:QAH983061 QKD983052:QKD983061 QTZ983052:QTZ983061 RDV983052:RDV983061 RNR983052:RNR983061 RXN983052:RXN983061 SHJ983052:SHJ983061 SRF983052:SRF983061 TBB983052:TBB983061 TKX983052:TKX983061 TUT983052:TUT983061 UEP983052:UEP983061 UOL983052:UOL983061 F12:F21 F23 F33:F34 F68:F69 F44 F46 F48:F50 F52:F66 F25 F27:F31 F37:F39 F41 JB71:JB73 SX71:SX73 ACT71:ACT73 AMP71:AMP73 AWL71:AWL73 BGH71:BGH73 BQD71:BQD73 BZZ71:BZZ73 CJV71:CJV73 CTR71:CTR73 DDN71:DDN73 DNJ71:DNJ73 DXF71:DXF73 EHB71:EHB73 EQX71:EQX73 FAT71:FAT73 FKP71:FKP73 FUL71:FUL73 GEH71:GEH73 GOD71:GOD73 GXZ71:GXZ73 HHV71:HHV73 HRR71:HRR73 IBN71:IBN73 ILJ71:ILJ73 IVF71:IVF73 JFB71:JFB73 JOX71:JOX73 JYT71:JYT73 KIP71:KIP73 KSL71:KSL73 LCH71:LCH73 LMD71:LMD73 LVZ71:LVZ73 MFV71:MFV73 MPR71:MPR73 MZN71:MZN73 NJJ71:NJJ73 NTF71:NTF73 ODB71:ODB73 OMX71:OMX73 OWT71:OWT73 PGP71:PGP73 PQL71:PQL73 QAH71:QAH73 QKD71:QKD73 QTZ71:QTZ73 RDV71:RDV73 RNR71:RNR73 RXN71:RXN73 SHJ71:SHJ73 SRF71:SRF73 TBB71:TBB73 TKX71:TKX73 TUT71:TUT73 UEP71:UEP73 UOL71:UOL73 UYH71:UYH73 VID71:VID73 VRZ71:VRZ73 WBV71:WBV73 WLR71:WLR73 WVN71:WVN73 F71:F73">
      <formula1>"Yes, No"</formula1>
    </dataValidation>
  </dataValidations>
  <hyperlinks>
    <hyperlink ref="D1" location="Introduction!A1" display="Back to introduction"/>
  </hyperlinks>
  <pageMargins left="0.27559055118110237" right="0.19685039370078741" top="0.39370078740157483" bottom="0.35433070866141736" header="0.19685039370078741" footer="0.15748031496062992"/>
  <pageSetup paperSize="8" scale="80" fitToHeight="2"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67"/>
  <sheetViews>
    <sheetView zoomScale="90" zoomScaleNormal="90" workbookViewId="0">
      <selection activeCell="D1" sqref="D1"/>
    </sheetView>
  </sheetViews>
  <sheetFormatPr defaultColWidth="9.109375" defaultRowHeight="13.2" x14ac:dyDescent="0.25"/>
  <cols>
    <col min="1" max="1" width="1.6640625" style="116" customWidth="1"/>
    <col min="2" max="2" width="16.44140625" style="126" customWidth="1"/>
    <col min="3" max="3" width="42.6640625" style="126" customWidth="1"/>
    <col min="4" max="4" width="73.33203125" style="125" customWidth="1"/>
    <col min="5" max="5" width="29.44140625" style="125" customWidth="1"/>
    <col min="6" max="6" width="12" style="116" customWidth="1"/>
    <col min="7" max="7" width="40.109375" style="116" customWidth="1"/>
    <col min="8" max="16384" width="9.109375" style="116"/>
  </cols>
  <sheetData>
    <row r="1" spans="1:9" s="115" customFormat="1" ht="17.399999999999999" x14ac:dyDescent="0.25">
      <c r="A1" s="111" t="s">
        <v>288</v>
      </c>
      <c r="B1" s="111"/>
      <c r="C1" s="112"/>
      <c r="D1" s="443" t="s">
        <v>1098</v>
      </c>
      <c r="E1" s="114"/>
    </row>
    <row r="2" spans="1:9" s="115" customFormat="1" ht="12.75" customHeight="1" x14ac:dyDescent="0.25">
      <c r="A2" s="111"/>
      <c r="B2" s="111"/>
      <c r="C2" s="112"/>
      <c r="D2" s="113"/>
      <c r="E2" s="114"/>
      <c r="H2" s="113"/>
    </row>
    <row r="3" spans="1:9" s="115" customFormat="1" ht="15.9" customHeight="1" x14ac:dyDescent="0.25">
      <c r="B3" s="561" t="s">
        <v>98</v>
      </c>
      <c r="C3" s="561"/>
      <c r="D3" s="561"/>
      <c r="E3" s="561"/>
      <c r="F3" s="561"/>
      <c r="G3" s="561"/>
      <c r="H3" s="561"/>
    </row>
    <row r="4" spans="1:9" s="115" customFormat="1" ht="57.15" customHeight="1" x14ac:dyDescent="0.25">
      <c r="B4" s="562" t="s">
        <v>794</v>
      </c>
      <c r="C4" s="562"/>
      <c r="D4" s="562"/>
      <c r="E4" s="562"/>
      <c r="F4" s="562"/>
      <c r="G4" s="562"/>
      <c r="H4" s="562"/>
    </row>
    <row r="5" spans="1:9" s="115" customFormat="1" ht="94.65" customHeight="1" x14ac:dyDescent="0.25">
      <c r="B5" s="569" t="s">
        <v>795</v>
      </c>
      <c r="C5" s="569"/>
      <c r="D5" s="569"/>
      <c r="E5" s="569"/>
      <c r="F5" s="569"/>
      <c r="G5" s="569"/>
      <c r="H5" s="569"/>
    </row>
    <row r="6" spans="1:9" s="115" customFormat="1" ht="7.5" customHeight="1" thickBot="1" x14ac:dyDescent="0.3">
      <c r="B6" s="112"/>
      <c r="C6" s="112"/>
      <c r="D6" s="113"/>
      <c r="E6" s="113"/>
      <c r="H6" s="113"/>
      <c r="I6" s="113"/>
    </row>
    <row r="7" spans="1:9" x14ac:dyDescent="0.25">
      <c r="B7" s="127" t="s">
        <v>7</v>
      </c>
      <c r="C7" s="128" t="s">
        <v>1</v>
      </c>
      <c r="D7" s="128" t="s">
        <v>3</v>
      </c>
      <c r="E7" s="128" t="s">
        <v>106</v>
      </c>
      <c r="F7" s="128" t="s">
        <v>101</v>
      </c>
      <c r="G7" s="128" t="s">
        <v>53</v>
      </c>
      <c r="H7" s="129" t="s">
        <v>10</v>
      </c>
    </row>
    <row r="8" spans="1:9" x14ac:dyDescent="0.25">
      <c r="B8" s="130" t="s">
        <v>50</v>
      </c>
      <c r="C8" s="131"/>
      <c r="D8" s="132"/>
      <c r="E8" s="132"/>
      <c r="F8" s="133"/>
      <c r="G8" s="133"/>
      <c r="H8" s="134"/>
    </row>
    <row r="9" spans="1:9" ht="70.5" customHeight="1" x14ac:dyDescent="0.25">
      <c r="B9" s="395" t="s">
        <v>108</v>
      </c>
      <c r="C9" s="396" t="s">
        <v>131</v>
      </c>
      <c r="D9" s="397" t="s">
        <v>1080</v>
      </c>
      <c r="E9" s="351" t="s">
        <v>289</v>
      </c>
      <c r="F9" s="352"/>
      <c r="G9" s="353"/>
      <c r="H9" s="117" t="s">
        <v>55</v>
      </c>
    </row>
    <row r="10" spans="1:9" ht="48.75" customHeight="1" x14ac:dyDescent="0.25">
      <c r="B10" s="395" t="s">
        <v>109</v>
      </c>
      <c r="C10" s="396" t="s">
        <v>132</v>
      </c>
      <c r="D10" s="397" t="s">
        <v>1081</v>
      </c>
      <c r="E10" s="351" t="s">
        <v>289</v>
      </c>
      <c r="F10" s="352"/>
      <c r="G10" s="353"/>
      <c r="H10" s="117" t="s">
        <v>55</v>
      </c>
    </row>
    <row r="11" spans="1:9" ht="58.65" customHeight="1" x14ac:dyDescent="0.25">
      <c r="B11" s="395" t="s">
        <v>263</v>
      </c>
      <c r="C11" s="570" t="s">
        <v>133</v>
      </c>
      <c r="D11" s="397" t="s">
        <v>274</v>
      </c>
      <c r="E11" s="351" t="s">
        <v>289</v>
      </c>
      <c r="F11" s="352"/>
      <c r="G11" s="353"/>
      <c r="H11" s="117" t="s">
        <v>55</v>
      </c>
    </row>
    <row r="12" spans="1:9" ht="35.4" customHeight="1" x14ac:dyDescent="0.25">
      <c r="B12" s="395" t="s">
        <v>262</v>
      </c>
      <c r="C12" s="571"/>
      <c r="D12" s="397" t="s">
        <v>275</v>
      </c>
      <c r="E12" s="351" t="s">
        <v>289</v>
      </c>
      <c r="F12" s="352"/>
      <c r="G12" s="354"/>
      <c r="H12" s="117" t="s">
        <v>55</v>
      </c>
    </row>
    <row r="13" spans="1:9" ht="45" customHeight="1" x14ac:dyDescent="0.25">
      <c r="B13" s="395" t="s">
        <v>261</v>
      </c>
      <c r="C13" s="571"/>
      <c r="D13" s="397" t="s">
        <v>276</v>
      </c>
      <c r="E13" s="351" t="s">
        <v>289</v>
      </c>
      <c r="F13" s="352"/>
      <c r="G13" s="354"/>
      <c r="H13" s="117" t="s">
        <v>55</v>
      </c>
    </row>
    <row r="14" spans="1:9" ht="63" customHeight="1" x14ac:dyDescent="0.25">
      <c r="B14" s="395" t="s">
        <v>260</v>
      </c>
      <c r="C14" s="572"/>
      <c r="D14" s="397" t="s">
        <v>277</v>
      </c>
      <c r="E14" s="351" t="s">
        <v>289</v>
      </c>
      <c r="F14" s="352"/>
      <c r="G14" s="353"/>
      <c r="H14" s="117" t="s">
        <v>55</v>
      </c>
    </row>
    <row r="15" spans="1:9" ht="39.15" customHeight="1" x14ac:dyDescent="0.25">
      <c r="B15" s="395" t="s">
        <v>259</v>
      </c>
      <c r="C15" s="396" t="s">
        <v>134</v>
      </c>
      <c r="D15" s="397" t="s">
        <v>525</v>
      </c>
      <c r="E15" s="351" t="s">
        <v>289</v>
      </c>
      <c r="F15" s="352"/>
      <c r="G15" s="354"/>
      <c r="H15" s="117" t="s">
        <v>55</v>
      </c>
      <c r="I15" s="355"/>
    </row>
    <row r="16" spans="1:9" ht="74.25" customHeight="1" x14ac:dyDescent="0.25">
      <c r="B16" s="395" t="s">
        <v>258</v>
      </c>
      <c r="C16" s="570" t="s">
        <v>135</v>
      </c>
      <c r="D16" s="398" t="s">
        <v>532</v>
      </c>
      <c r="E16" s="351" t="s">
        <v>289</v>
      </c>
      <c r="F16" s="352"/>
      <c r="G16" s="356"/>
      <c r="H16" s="117" t="s">
        <v>55</v>
      </c>
    </row>
    <row r="17" spans="2:9" ht="30.75" customHeight="1" x14ac:dyDescent="0.25">
      <c r="B17" s="395" t="s">
        <v>290</v>
      </c>
      <c r="C17" s="571"/>
      <c r="D17" s="397" t="s">
        <v>278</v>
      </c>
      <c r="E17" s="351" t="s">
        <v>289</v>
      </c>
      <c r="F17" s="352"/>
      <c r="G17" s="354"/>
      <c r="H17" s="117"/>
    </row>
    <row r="18" spans="2:9" ht="33" customHeight="1" x14ac:dyDescent="0.25">
      <c r="B18" s="395" t="s">
        <v>257</v>
      </c>
      <c r="C18" s="571"/>
      <c r="D18" s="437" t="s">
        <v>256</v>
      </c>
      <c r="E18" s="351" t="s">
        <v>289</v>
      </c>
      <c r="F18" s="352"/>
      <c r="G18" s="354"/>
      <c r="H18" s="117" t="s">
        <v>55</v>
      </c>
    </row>
    <row r="19" spans="2:9" ht="27.75" customHeight="1" x14ac:dyDescent="0.25">
      <c r="B19" s="395" t="s">
        <v>255</v>
      </c>
      <c r="C19" s="571"/>
      <c r="D19" s="397" t="s">
        <v>254</v>
      </c>
      <c r="E19" s="351" t="s">
        <v>289</v>
      </c>
      <c r="F19" s="352"/>
      <c r="G19" s="353"/>
      <c r="H19" s="117" t="s">
        <v>55</v>
      </c>
    </row>
    <row r="20" spans="2:9" ht="79.2" x14ac:dyDescent="0.25">
      <c r="B20" s="395" t="s">
        <v>253</v>
      </c>
      <c r="C20" s="572"/>
      <c r="D20" s="397" t="s">
        <v>252</v>
      </c>
      <c r="E20" s="351" t="s">
        <v>289</v>
      </c>
      <c r="F20" s="352"/>
      <c r="G20" s="353"/>
      <c r="H20" s="117" t="s">
        <v>55</v>
      </c>
      <c r="I20" s="355"/>
    </row>
    <row r="21" spans="2:9" ht="13.8" thickBot="1" x14ac:dyDescent="0.3">
      <c r="B21" s="118"/>
      <c r="C21" s="119"/>
      <c r="D21" s="120"/>
      <c r="E21" s="120"/>
      <c r="F21" s="121"/>
      <c r="G21" s="121"/>
      <c r="H21" s="122"/>
    </row>
    <row r="22" spans="2:9" ht="67.95" customHeight="1" thickBot="1" x14ac:dyDescent="0.3">
      <c r="B22" s="399" t="s">
        <v>83</v>
      </c>
      <c r="C22" s="400" t="str">
        <f>IF(OR(F9="Yes"), HYPERLINK("https://www.gov.uk/government/organisations/medicines-and-healthcare-products-regulatory-agency", "5 - The System falls under the category of a Medical Device and guidance should be sought from the MHRA"),
IF(F10="Yes", HYPERLINK("http://systems.digital.nhs.uk/clinsafety", "4- NHS Digital Clinical Safety Group Assistance Required"),
IF(OR(F11="Yes",F13="Yes",F14="Yes"),"3 - Local Only (Clinical Safety Related) SCCI0129 /SCCI0160 needs to be applied",
IF(F12="Yes","2 - Local Only (Non Clinical)","1 - None Required"))))</f>
        <v>1 - None Required</v>
      </c>
      <c r="D22" s="573" t="s">
        <v>279</v>
      </c>
      <c r="E22" s="573"/>
      <c r="F22" s="573"/>
      <c r="G22" s="401"/>
      <c r="H22" s="122"/>
    </row>
    <row r="23" spans="2:9" s="121" customFormat="1" x14ac:dyDescent="0.25">
      <c r="B23" s="118"/>
      <c r="C23" s="119"/>
      <c r="D23" s="120"/>
      <c r="E23" s="120"/>
      <c r="H23" s="122"/>
    </row>
    <row r="24" spans="2:9" s="124" customFormat="1" ht="15.6" x14ac:dyDescent="0.25">
      <c r="B24" s="357" t="s">
        <v>37</v>
      </c>
      <c r="C24" s="123"/>
      <c r="D24" s="358"/>
      <c r="E24" s="358"/>
      <c r="H24" s="359"/>
    </row>
    <row r="25" spans="2:9" s="123" customFormat="1" ht="13.8" thickBot="1" x14ac:dyDescent="0.3">
      <c r="B25" s="360"/>
      <c r="H25" s="361"/>
    </row>
    <row r="26" spans="2:9" s="123" customFormat="1" x14ac:dyDescent="0.25">
      <c r="B26" s="402" t="str">
        <f>IF(MID(C$22,1,1)&gt;"2", "RISK ASSESSMENT - have you conducted a formal Risk Assessment and identified Clinical Safety Hazards in accordance withSCCI0129 / 0160 (See Clinical Safety Framework, Chapter 4 for more details)", "")</f>
        <v/>
      </c>
      <c r="C26" s="403"/>
      <c r="D26" s="403"/>
      <c r="E26" s="403"/>
      <c r="F26" s="403"/>
      <c r="G26" s="404"/>
      <c r="H26" s="361"/>
    </row>
    <row r="27" spans="2:9" s="123" customFormat="1" x14ac:dyDescent="0.25">
      <c r="B27" s="405" t="str">
        <f>IF(MID(C$22,1,1)&gt;"2", "DOCUMENTARY EVIDENCE - is there a formal Safety Case and incorporating Hazard log. (See Clinical Safety Framework, Chapter 4 for more details)", "")</f>
        <v/>
      </c>
      <c r="C27" s="406"/>
      <c r="D27" s="406"/>
      <c r="E27" s="406"/>
      <c r="F27" s="406"/>
      <c r="G27" s="407"/>
      <c r="H27" s="361"/>
    </row>
    <row r="28" spans="2:9" s="123" customFormat="1" x14ac:dyDescent="0.25">
      <c r="B28" s="408" t="str">
        <f>IF(F$15="Yes", "SAFETY ISSUES - Provide documentation on any clinical safety implications of any issues identified in the Architecture section of this checklist: (See Clinical Safety Guidance, Chapter 4 for more details)", "")</f>
        <v/>
      </c>
      <c r="C28" s="406"/>
      <c r="D28" s="406"/>
      <c r="E28" s="406"/>
      <c r="F28" s="406"/>
      <c r="G28" s="407"/>
      <c r="H28" s="361"/>
    </row>
    <row r="29" spans="2:9" s="123" customFormat="1" ht="13.8" thickBot="1" x14ac:dyDescent="0.3">
      <c r="B29" s="409"/>
      <c r="C29" s="410"/>
      <c r="D29" s="410"/>
      <c r="E29" s="410"/>
      <c r="F29" s="410"/>
      <c r="G29" s="411"/>
      <c r="H29" s="361"/>
    </row>
    <row r="30" spans="2:9" s="123" customFormat="1" x14ac:dyDescent="0.25">
      <c r="B30" s="362"/>
      <c r="H30" s="361"/>
    </row>
    <row r="31" spans="2:9" s="124" customFormat="1" ht="15.6" x14ac:dyDescent="0.25">
      <c r="B31" s="357" t="s">
        <v>38</v>
      </c>
      <c r="C31" s="123"/>
      <c r="D31" s="358"/>
      <c r="E31" s="358"/>
      <c r="H31" s="359"/>
    </row>
    <row r="32" spans="2:9" s="124" customFormat="1" ht="13.8" thickBot="1" x14ac:dyDescent="0.3">
      <c r="B32" s="363"/>
      <c r="C32" s="123"/>
      <c r="D32" s="358"/>
      <c r="E32" s="358"/>
      <c r="H32" s="359"/>
    </row>
    <row r="33" spans="2:8" s="124" customFormat="1" x14ac:dyDescent="0.25">
      <c r="B33" s="412"/>
      <c r="C33" s="413"/>
      <c r="D33" s="414"/>
      <c r="E33" s="414"/>
      <c r="F33" s="414"/>
      <c r="G33" s="415"/>
      <c r="H33" s="359"/>
    </row>
    <row r="34" spans="2:8" s="124" customFormat="1" x14ac:dyDescent="0.25">
      <c r="B34" s="574" t="str">
        <f>IF(MID(C$22,1,1)&gt;"4", HYPERLINK("https://www.gov.uk/government/organisations/medicines-and-healthcare-products-regulatory-agency", "MHRA - For more information on Medical Device regulation follow this link"), "")</f>
        <v/>
      </c>
      <c r="C34" s="575"/>
      <c r="D34" s="575"/>
      <c r="E34" s="575"/>
      <c r="F34" s="575"/>
      <c r="G34" s="576"/>
      <c r="H34" s="359"/>
    </row>
    <row r="35" spans="2:8" s="123" customFormat="1" x14ac:dyDescent="0.25">
      <c r="B35" s="563" t="str">
        <f>IF(MID(C$22,1,1)&gt;"1", "CSO - the local Clinical Safety Officer or Social Care Professional must sign off the interface", "")</f>
        <v/>
      </c>
      <c r="C35" s="564"/>
      <c r="D35" s="564"/>
      <c r="E35" s="564"/>
      <c r="F35" s="564"/>
      <c r="G35" s="565"/>
      <c r="H35" s="361"/>
    </row>
    <row r="36" spans="2:8" s="124" customFormat="1" x14ac:dyDescent="0.25">
      <c r="B36" s="563" t="str">
        <f>IF(MID(C$22,1,1)&gt;"2", "CSG - Assistance from the NHS Digital Clinical Safety group is available. Contact clinical.safety@NHS Digital.gov.uk", "")</f>
        <v/>
      </c>
      <c r="C36" s="564"/>
      <c r="D36" s="564"/>
      <c r="E36" s="564"/>
      <c r="F36" s="564"/>
      <c r="G36" s="565"/>
      <c r="H36" s="359"/>
    </row>
    <row r="37" spans="2:8" s="124" customFormat="1" ht="13.8" thickBot="1" x14ac:dyDescent="0.3">
      <c r="B37" s="566" t="str">
        <f>IF(MID(C$22,1,1)&gt;"3", "CSG - Signoff from the NHS Digital Clinical Safety group is required. Contact clinical.safety@NHS Digital.gov.uk", "")</f>
        <v/>
      </c>
      <c r="C37" s="567"/>
      <c r="D37" s="567"/>
      <c r="E37" s="567"/>
      <c r="F37" s="567"/>
      <c r="G37" s="568"/>
      <c r="H37" s="359"/>
    </row>
    <row r="38" spans="2:8" s="115" customFormat="1" x14ac:dyDescent="0.25">
      <c r="B38" s="364"/>
      <c r="C38" s="364"/>
      <c r="D38" s="364"/>
      <c r="E38" s="364"/>
      <c r="F38" s="364"/>
      <c r="G38" s="364"/>
      <c r="H38" s="364"/>
    </row>
    <row r="39" spans="2:8" ht="17.399999999999999" x14ac:dyDescent="0.25">
      <c r="B39" s="111"/>
      <c r="C39" s="119"/>
      <c r="F39" s="121"/>
      <c r="G39" s="121"/>
      <c r="H39" s="120"/>
    </row>
    <row r="40" spans="2:8" x14ac:dyDescent="0.25">
      <c r="H40" s="125"/>
    </row>
    <row r="41" spans="2:8" x14ac:dyDescent="0.25">
      <c r="H41" s="125"/>
    </row>
    <row r="42" spans="2:8" ht="318.75" customHeight="1" x14ac:dyDescent="0.25">
      <c r="B42" s="569"/>
      <c r="C42" s="569"/>
      <c r="D42" s="569"/>
      <c r="H42" s="125"/>
    </row>
    <row r="43" spans="2:8" x14ac:dyDescent="0.25">
      <c r="H43" s="125"/>
    </row>
    <row r="44" spans="2:8" x14ac:dyDescent="0.25">
      <c r="H44" s="125"/>
    </row>
    <row r="45" spans="2:8" x14ac:dyDescent="0.25">
      <c r="H45" s="125"/>
    </row>
    <row r="46" spans="2:8" x14ac:dyDescent="0.25">
      <c r="H46" s="125"/>
    </row>
    <row r="47" spans="2:8" x14ac:dyDescent="0.25">
      <c r="H47" s="125"/>
    </row>
    <row r="48" spans="2:8" x14ac:dyDescent="0.25">
      <c r="H48" s="125"/>
    </row>
    <row r="49" spans="8:8" x14ac:dyDescent="0.25">
      <c r="H49" s="125"/>
    </row>
    <row r="50" spans="8:8" x14ac:dyDescent="0.25">
      <c r="H50" s="125"/>
    </row>
    <row r="51" spans="8:8" x14ac:dyDescent="0.25">
      <c r="H51" s="125"/>
    </row>
    <row r="52" spans="8:8" x14ac:dyDescent="0.25">
      <c r="H52" s="125"/>
    </row>
    <row r="53" spans="8:8" x14ac:dyDescent="0.25">
      <c r="H53" s="125"/>
    </row>
    <row r="54" spans="8:8" x14ac:dyDescent="0.25">
      <c r="H54" s="125"/>
    </row>
    <row r="55" spans="8:8" x14ac:dyDescent="0.25">
      <c r="H55" s="125"/>
    </row>
    <row r="56" spans="8:8" x14ac:dyDescent="0.25">
      <c r="H56" s="125"/>
    </row>
    <row r="57" spans="8:8" x14ac:dyDescent="0.25">
      <c r="H57" s="125"/>
    </row>
    <row r="58" spans="8:8" x14ac:dyDescent="0.25">
      <c r="H58" s="125"/>
    </row>
    <row r="59" spans="8:8" x14ac:dyDescent="0.25">
      <c r="H59" s="125"/>
    </row>
    <row r="60" spans="8:8" x14ac:dyDescent="0.25">
      <c r="H60" s="125"/>
    </row>
    <row r="61" spans="8:8" x14ac:dyDescent="0.25">
      <c r="H61" s="125"/>
    </row>
    <row r="62" spans="8:8" x14ac:dyDescent="0.25">
      <c r="H62" s="125"/>
    </row>
    <row r="63" spans="8:8" x14ac:dyDescent="0.25">
      <c r="H63" s="125"/>
    </row>
    <row r="64" spans="8:8" x14ac:dyDescent="0.25">
      <c r="H64" s="125"/>
    </row>
    <row r="65" spans="8:8" x14ac:dyDescent="0.25">
      <c r="H65" s="125"/>
    </row>
    <row r="66" spans="8:8" x14ac:dyDescent="0.25">
      <c r="H66" s="125"/>
    </row>
    <row r="67" spans="8:8" x14ac:dyDescent="0.25">
      <c r="H67" s="125"/>
    </row>
  </sheetData>
  <mergeCells count="11">
    <mergeCell ref="B42:D42"/>
    <mergeCell ref="B5:H5"/>
    <mergeCell ref="C11:C14"/>
    <mergeCell ref="C16:C20"/>
    <mergeCell ref="D22:F22"/>
    <mergeCell ref="B34:G34"/>
    <mergeCell ref="B3:H3"/>
    <mergeCell ref="B4:H4"/>
    <mergeCell ref="B35:G35"/>
    <mergeCell ref="B36:G36"/>
    <mergeCell ref="B37:G37"/>
  </mergeCells>
  <conditionalFormatting sqref="F9:F11 F13:F15">
    <cfRule type="cellIs" dxfId="72" priority="7" stopIfTrue="1" operator="equal">
      <formula>"Yes"</formula>
    </cfRule>
  </conditionalFormatting>
  <conditionalFormatting sqref="F18:F20">
    <cfRule type="cellIs" dxfId="71" priority="6" stopIfTrue="1" operator="equal">
      <formula>"No"</formula>
    </cfRule>
  </conditionalFormatting>
  <conditionalFormatting sqref="C22">
    <cfRule type="containsText" dxfId="70" priority="4" stopIfTrue="1" operator="containsText" text="NHS Digital Clinical Safety Group Assistance Required">
      <formula>NOT(ISERROR(SEARCH("NHS Digital Clinical Safety Group Assistance Required",C22)))</formula>
    </cfRule>
    <cfRule type="containsText" dxfId="69" priority="5" stopIfTrue="1" operator="containsText" text="MHRA">
      <formula>NOT(ISERROR(SEARCH("MHRA",C22)))</formula>
    </cfRule>
  </conditionalFormatting>
  <conditionalFormatting sqref="F12">
    <cfRule type="cellIs" dxfId="68" priority="3" stopIfTrue="1" operator="equal">
      <formula>"No"</formula>
    </cfRule>
  </conditionalFormatting>
  <conditionalFormatting sqref="F17">
    <cfRule type="cellIs" dxfId="67" priority="2" stopIfTrue="1" operator="equal">
      <formula>"Yes"</formula>
    </cfRule>
  </conditionalFormatting>
  <conditionalFormatting sqref="F16">
    <cfRule type="cellIs" dxfId="66" priority="1" stopIfTrue="1" operator="equal">
      <formula>"Yes"</formula>
    </cfRule>
  </conditionalFormatting>
  <dataValidations count="1">
    <dataValidation type="list" allowBlank="1" showInputMessage="1" showErrorMessage="1" sqref="F9:F20">
      <formula1>"Yes, No"</formula1>
    </dataValidation>
  </dataValidations>
  <hyperlinks>
    <hyperlink ref="D1" location="Introduction!A1" display="Back to introduction"/>
  </hyperlinks>
  <pageMargins left="0.38" right="0.4" top="0.4" bottom="0.37" header="0.2" footer="0.17"/>
  <pageSetup paperSize="9" scale="60" fitToHeight="0" orientation="landscape"/>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35"/>
  <sheetViews>
    <sheetView zoomScale="90" zoomScaleNormal="90" workbookViewId="0">
      <selection activeCell="D1" sqref="D1"/>
    </sheetView>
  </sheetViews>
  <sheetFormatPr defaultColWidth="9.109375" defaultRowHeight="13.2" x14ac:dyDescent="0.25"/>
  <cols>
    <col min="1" max="1" width="3.44140625" style="40" customWidth="1"/>
    <col min="2" max="2" width="11" style="40" customWidth="1"/>
    <col min="3" max="3" width="44.6640625" style="40" customWidth="1"/>
    <col min="4" max="4" width="61.44140625" style="40" customWidth="1"/>
    <col min="5" max="5" width="14.33203125" style="40" bestFit="1" customWidth="1"/>
    <col min="6" max="7" width="52.109375" style="40" customWidth="1"/>
    <col min="8" max="8" width="17.6640625" style="40" customWidth="1"/>
    <col min="9" max="16384" width="9.109375" style="40"/>
  </cols>
  <sheetData>
    <row r="1" spans="1:20" s="51" customFormat="1" ht="17.399999999999999" x14ac:dyDescent="0.25">
      <c r="A1" s="52" t="s">
        <v>592</v>
      </c>
      <c r="B1" s="52"/>
      <c r="D1" s="443" t="s">
        <v>1098</v>
      </c>
    </row>
    <row r="2" spans="1:20" s="51" customFormat="1" ht="10.5" customHeight="1" x14ac:dyDescent="0.25">
      <c r="A2" s="52"/>
      <c r="B2" s="52"/>
    </row>
    <row r="3" spans="1:20" s="48" customFormat="1" x14ac:dyDescent="0.25">
      <c r="B3" s="50" t="s">
        <v>273</v>
      </c>
      <c r="C3" s="49"/>
      <c r="D3" s="49"/>
      <c r="E3" s="49"/>
      <c r="F3" s="49"/>
      <c r="G3" s="49"/>
      <c r="H3" s="49"/>
    </row>
    <row r="4" spans="1:20" s="48" customFormat="1" x14ac:dyDescent="0.25">
      <c r="B4" s="50" t="s">
        <v>634</v>
      </c>
      <c r="C4" s="49"/>
      <c r="D4" s="49"/>
      <c r="E4" s="49"/>
      <c r="F4" s="49"/>
      <c r="G4" s="49"/>
      <c r="H4" s="49"/>
    </row>
    <row r="5" spans="1:20" s="48" customFormat="1" x14ac:dyDescent="0.25">
      <c r="B5" s="58" t="s">
        <v>188</v>
      </c>
      <c r="C5" s="49"/>
      <c r="D5" s="49"/>
      <c r="E5" s="49"/>
      <c r="F5" s="49"/>
      <c r="G5" s="49"/>
      <c r="H5" s="49"/>
    </row>
    <row r="6" spans="1:20" s="48" customFormat="1" x14ac:dyDescent="0.25">
      <c r="B6" s="57" t="s">
        <v>462</v>
      </c>
      <c r="C6" s="49"/>
      <c r="D6" s="49"/>
      <c r="E6" s="49"/>
      <c r="F6" s="49"/>
      <c r="G6" s="49"/>
      <c r="H6" s="49"/>
    </row>
    <row r="7" spans="1:20" s="48" customFormat="1" ht="14.25" customHeight="1" thickBot="1" x14ac:dyDescent="0.3">
      <c r="A7" s="50"/>
      <c r="B7" s="50"/>
      <c r="C7" s="49"/>
      <c r="D7" s="49"/>
      <c r="E7" s="49"/>
      <c r="F7" s="49"/>
      <c r="G7" s="49"/>
      <c r="H7" s="49"/>
    </row>
    <row r="8" spans="1:20" s="43" customFormat="1" ht="35.25" customHeight="1" thickBot="1" x14ac:dyDescent="0.3">
      <c r="A8" s="47"/>
      <c r="B8" s="46" t="s">
        <v>7</v>
      </c>
      <c r="C8" s="46" t="s">
        <v>187</v>
      </c>
      <c r="D8" s="45" t="s">
        <v>637</v>
      </c>
      <c r="E8" s="209" t="s">
        <v>627</v>
      </c>
      <c r="F8" s="209" t="s">
        <v>186</v>
      </c>
      <c r="G8" s="44" t="s">
        <v>594</v>
      </c>
      <c r="H8" s="44" t="s">
        <v>10</v>
      </c>
      <c r="I8" s="40"/>
      <c r="J8" s="40"/>
      <c r="K8" s="40"/>
      <c r="L8" s="40"/>
      <c r="M8" s="40"/>
      <c r="N8" s="40"/>
      <c r="O8" s="40"/>
      <c r="P8" s="40"/>
      <c r="Q8" s="40"/>
      <c r="R8" s="40"/>
      <c r="S8" s="40"/>
      <c r="T8" s="40"/>
    </row>
    <row r="9" spans="1:20" s="25" customFormat="1" ht="15" customHeight="1" x14ac:dyDescent="0.25">
      <c r="A9" s="42"/>
      <c r="B9" s="577" t="s">
        <v>493</v>
      </c>
      <c r="C9" s="578"/>
      <c r="D9" s="578"/>
      <c r="E9" s="578"/>
      <c r="F9" s="578"/>
      <c r="G9" s="578"/>
      <c r="H9" s="579"/>
      <c r="I9" s="40"/>
      <c r="J9" s="40"/>
      <c r="K9" s="40"/>
      <c r="L9" s="40"/>
      <c r="M9" s="40"/>
      <c r="N9" s="40"/>
      <c r="O9" s="40"/>
      <c r="P9" s="40"/>
      <c r="Q9" s="40"/>
      <c r="R9" s="40"/>
      <c r="S9" s="40"/>
      <c r="T9" s="40"/>
    </row>
    <row r="10" spans="1:20" ht="26.25" customHeight="1" x14ac:dyDescent="0.25">
      <c r="A10" s="41"/>
      <c r="B10" s="441" t="s">
        <v>185</v>
      </c>
      <c r="C10" s="283" t="s">
        <v>489</v>
      </c>
      <c r="D10" s="284" t="s">
        <v>1082</v>
      </c>
      <c r="E10" s="394" t="s">
        <v>645</v>
      </c>
      <c r="F10" s="416"/>
      <c r="G10" s="416"/>
      <c r="H10" s="8" t="s">
        <v>55</v>
      </c>
    </row>
    <row r="11" spans="1:20" ht="26.25" customHeight="1" x14ac:dyDescent="0.25">
      <c r="A11" s="41"/>
      <c r="B11" s="441" t="s">
        <v>184</v>
      </c>
      <c r="C11" s="283" t="s">
        <v>490</v>
      </c>
      <c r="D11" s="284" t="s">
        <v>1083</v>
      </c>
      <c r="E11" s="394" t="s">
        <v>645</v>
      </c>
      <c r="F11" s="416"/>
      <c r="G11" s="416"/>
      <c r="H11" s="8" t="s">
        <v>55</v>
      </c>
    </row>
    <row r="12" spans="1:20" ht="26.25" customHeight="1" x14ac:dyDescent="0.25">
      <c r="A12" s="41"/>
      <c r="B12" s="441" t="s">
        <v>183</v>
      </c>
      <c r="C12" s="283" t="s">
        <v>181</v>
      </c>
      <c r="D12" s="284" t="s">
        <v>1084</v>
      </c>
      <c r="E12" s="394" t="s">
        <v>645</v>
      </c>
      <c r="F12" s="416"/>
      <c r="G12" s="416"/>
      <c r="H12" s="8" t="s">
        <v>55</v>
      </c>
    </row>
    <row r="13" spans="1:20" ht="26.25" customHeight="1" x14ac:dyDescent="0.25">
      <c r="A13" s="41"/>
      <c r="B13" s="441" t="s">
        <v>182</v>
      </c>
      <c r="C13" s="283" t="s">
        <v>488</v>
      </c>
      <c r="D13" s="284" t="s">
        <v>491</v>
      </c>
      <c r="E13" s="394" t="s">
        <v>645</v>
      </c>
      <c r="F13" s="416"/>
      <c r="G13" s="416"/>
      <c r="H13" s="8" t="s">
        <v>55</v>
      </c>
    </row>
    <row r="14" spans="1:20" ht="26.25" customHeight="1" x14ac:dyDescent="0.25">
      <c r="A14" s="41"/>
      <c r="B14" s="441" t="s">
        <v>180</v>
      </c>
      <c r="C14" s="283" t="s">
        <v>272</v>
      </c>
      <c r="D14" s="284" t="s">
        <v>1085</v>
      </c>
      <c r="E14" s="394" t="s">
        <v>645</v>
      </c>
      <c r="F14" s="416"/>
      <c r="G14" s="416"/>
      <c r="H14" s="8" t="s">
        <v>55</v>
      </c>
    </row>
    <row r="15" spans="1:20" ht="26.25" customHeight="1" x14ac:dyDescent="0.25">
      <c r="A15" s="41"/>
      <c r="B15" s="441" t="s">
        <v>179</v>
      </c>
      <c r="C15" s="283" t="s">
        <v>269</v>
      </c>
      <c r="D15" s="284" t="s">
        <v>495</v>
      </c>
      <c r="E15" s="394" t="s">
        <v>645</v>
      </c>
      <c r="F15" s="416"/>
      <c r="G15" s="416"/>
      <c r="H15" s="8" t="s">
        <v>55</v>
      </c>
    </row>
    <row r="16" spans="1:20" ht="66" x14ac:dyDescent="0.25">
      <c r="A16" s="41"/>
      <c r="B16" s="441" t="s">
        <v>178</v>
      </c>
      <c r="C16" s="283" t="s">
        <v>173</v>
      </c>
      <c r="D16" s="284" t="s">
        <v>492</v>
      </c>
      <c r="E16" s="394" t="s">
        <v>645</v>
      </c>
      <c r="F16" s="416"/>
      <c r="G16" s="416"/>
      <c r="H16" s="8" t="s">
        <v>55</v>
      </c>
    </row>
    <row r="17" spans="1:20" ht="119.25" customHeight="1" x14ac:dyDescent="0.25">
      <c r="A17" s="41"/>
      <c r="B17" s="441" t="s">
        <v>177</v>
      </c>
      <c r="C17" s="283" t="s">
        <v>271</v>
      </c>
      <c r="D17" s="284" t="s">
        <v>1086</v>
      </c>
      <c r="E17" s="394" t="s">
        <v>645</v>
      </c>
      <c r="F17" s="416"/>
      <c r="G17" s="416"/>
      <c r="H17" s="8" t="s">
        <v>55</v>
      </c>
    </row>
    <row r="18" spans="1:20" ht="45" customHeight="1" x14ac:dyDescent="0.25">
      <c r="A18" s="41"/>
      <c r="B18" s="441" t="s">
        <v>176</v>
      </c>
      <c r="C18" s="283" t="s">
        <v>270</v>
      </c>
      <c r="D18" s="284" t="s">
        <v>1087</v>
      </c>
      <c r="E18" s="394" t="s">
        <v>645</v>
      </c>
      <c r="F18" s="416"/>
      <c r="G18" s="416"/>
      <c r="H18" s="8" t="s">
        <v>55</v>
      </c>
    </row>
    <row r="19" spans="1:20" ht="35.25" customHeight="1" x14ac:dyDescent="0.25">
      <c r="A19" s="41"/>
      <c r="B19" s="441" t="s">
        <v>175</v>
      </c>
      <c r="C19" s="283" t="s">
        <v>268</v>
      </c>
      <c r="D19" s="284" t="s">
        <v>1088</v>
      </c>
      <c r="E19" s="394" t="s">
        <v>645</v>
      </c>
      <c r="F19" s="416"/>
      <c r="G19" s="416"/>
      <c r="H19" s="8" t="s">
        <v>55</v>
      </c>
    </row>
    <row r="20" spans="1:20" ht="35.25" customHeight="1" x14ac:dyDescent="0.25">
      <c r="A20" s="41"/>
      <c r="B20" s="441" t="s">
        <v>174</v>
      </c>
      <c r="C20" s="283" t="s">
        <v>267</v>
      </c>
      <c r="D20" s="284" t="s">
        <v>1089</v>
      </c>
      <c r="E20" s="394" t="s">
        <v>645</v>
      </c>
      <c r="F20" s="416"/>
      <c r="G20" s="416"/>
      <c r="H20" s="8" t="s">
        <v>55</v>
      </c>
    </row>
    <row r="21" spans="1:20" ht="35.25" customHeight="1" thickBot="1" x14ac:dyDescent="0.3">
      <c r="A21" s="41"/>
      <c r="B21" s="441" t="s">
        <v>172</v>
      </c>
      <c r="C21" s="283" t="s">
        <v>533</v>
      </c>
      <c r="D21" s="284" t="s">
        <v>266</v>
      </c>
      <c r="E21" s="394" t="s">
        <v>645</v>
      </c>
      <c r="F21" s="416"/>
      <c r="G21" s="416"/>
      <c r="H21" s="8" t="s">
        <v>55</v>
      </c>
    </row>
    <row r="22" spans="1:20" s="25" customFormat="1" ht="15" customHeight="1" x14ac:dyDescent="0.25">
      <c r="A22" s="42"/>
      <c r="B22" s="580" t="s">
        <v>518</v>
      </c>
      <c r="C22" s="581"/>
      <c r="D22" s="581"/>
      <c r="E22" s="581"/>
      <c r="F22" s="581"/>
      <c r="G22" s="581"/>
      <c r="H22" s="582"/>
      <c r="I22" s="40"/>
      <c r="J22" s="40"/>
      <c r="K22" s="40"/>
      <c r="L22" s="40"/>
      <c r="M22" s="40"/>
      <c r="N22" s="40"/>
      <c r="O22" s="40"/>
      <c r="P22" s="40"/>
      <c r="Q22" s="40"/>
      <c r="R22" s="40"/>
      <c r="S22" s="40"/>
      <c r="T22" s="40"/>
    </row>
    <row r="23" spans="1:20" ht="39.6" x14ac:dyDescent="0.25">
      <c r="A23" s="41"/>
      <c r="B23" s="442" t="s">
        <v>171</v>
      </c>
      <c r="C23" s="285" t="s">
        <v>494</v>
      </c>
      <c r="D23" s="286" t="s">
        <v>495</v>
      </c>
      <c r="E23" s="293" t="s">
        <v>645</v>
      </c>
      <c r="F23" s="417"/>
      <c r="G23" s="417"/>
      <c r="H23" s="8" t="s">
        <v>55</v>
      </c>
    </row>
    <row r="24" spans="1:20" ht="32.25" customHeight="1" x14ac:dyDescent="0.25">
      <c r="A24" s="41"/>
      <c r="B24" s="442" t="s">
        <v>170</v>
      </c>
      <c r="C24" s="285" t="s">
        <v>268</v>
      </c>
      <c r="D24" s="286" t="s">
        <v>1088</v>
      </c>
      <c r="E24" s="293" t="s">
        <v>645</v>
      </c>
      <c r="F24" s="417"/>
      <c r="G24" s="417"/>
      <c r="H24" s="8" t="s">
        <v>55</v>
      </c>
    </row>
    <row r="25" spans="1:20" ht="32.25" customHeight="1" x14ac:dyDescent="0.25">
      <c r="A25" s="41"/>
      <c r="B25" s="442" t="s">
        <v>169</v>
      </c>
      <c r="C25" s="285" t="s">
        <v>267</v>
      </c>
      <c r="D25" s="286" t="s">
        <v>1089</v>
      </c>
      <c r="E25" s="293" t="s">
        <v>645</v>
      </c>
      <c r="F25" s="417"/>
      <c r="G25" s="417"/>
      <c r="H25" s="8" t="s">
        <v>55</v>
      </c>
    </row>
    <row r="26" spans="1:20" ht="32.25" customHeight="1" x14ac:dyDescent="0.25">
      <c r="A26" s="41"/>
      <c r="B26" s="442" t="s">
        <v>168</v>
      </c>
      <c r="C26" s="285" t="s">
        <v>534</v>
      </c>
      <c r="D26" s="286" t="s">
        <v>266</v>
      </c>
      <c r="E26" s="293" t="s">
        <v>645</v>
      </c>
      <c r="F26" s="417"/>
      <c r="G26" s="417"/>
      <c r="H26" s="8" t="s">
        <v>55</v>
      </c>
    </row>
    <row r="29" spans="1:20" ht="25.5" customHeight="1" x14ac:dyDescent="0.25">
      <c r="B29" s="583" t="s">
        <v>524</v>
      </c>
      <c r="C29" s="584"/>
      <c r="D29" s="584"/>
      <c r="E29" s="584"/>
      <c r="F29" s="584"/>
      <c r="G29" s="584"/>
      <c r="H29" s="585"/>
    </row>
    <row r="30" spans="1:20" x14ac:dyDescent="0.25">
      <c r="B30" s="586"/>
      <c r="C30" s="587"/>
      <c r="D30" s="587"/>
      <c r="E30" s="587"/>
      <c r="F30" s="587"/>
      <c r="G30" s="587"/>
      <c r="H30" s="588"/>
    </row>
    <row r="31" spans="1:20" x14ac:dyDescent="0.25">
      <c r="B31" s="586"/>
      <c r="C31" s="587"/>
      <c r="D31" s="587"/>
      <c r="E31" s="587"/>
      <c r="F31" s="587"/>
      <c r="G31" s="587"/>
      <c r="H31" s="588"/>
    </row>
    <row r="32" spans="1:20" x14ac:dyDescent="0.25">
      <c r="B32" s="586"/>
      <c r="C32" s="587"/>
      <c r="D32" s="587"/>
      <c r="E32" s="587"/>
      <c r="F32" s="587"/>
      <c r="G32" s="587"/>
      <c r="H32" s="588"/>
    </row>
    <row r="33" spans="2:8" x14ac:dyDescent="0.25">
      <c r="B33" s="586"/>
      <c r="C33" s="587"/>
      <c r="D33" s="587"/>
      <c r="E33" s="587"/>
      <c r="F33" s="587"/>
      <c r="G33" s="587"/>
      <c r="H33" s="588"/>
    </row>
    <row r="34" spans="2:8" x14ac:dyDescent="0.25">
      <c r="B34" s="586"/>
      <c r="C34" s="587"/>
      <c r="D34" s="587"/>
      <c r="E34" s="587"/>
      <c r="F34" s="587"/>
      <c r="G34" s="587"/>
      <c r="H34" s="588"/>
    </row>
    <row r="35" spans="2:8" x14ac:dyDescent="0.25">
      <c r="B35" s="589"/>
      <c r="C35" s="590"/>
      <c r="D35" s="590"/>
      <c r="E35" s="590"/>
      <c r="F35" s="590"/>
      <c r="G35" s="590"/>
      <c r="H35" s="591"/>
    </row>
  </sheetData>
  <mergeCells count="3">
    <mergeCell ref="B9:H9"/>
    <mergeCell ref="B22:H22"/>
    <mergeCell ref="B29:H35"/>
  </mergeCells>
  <conditionalFormatting sqref="E23:E26">
    <cfRule type="cellIs" dxfId="65" priority="5" stopIfTrue="1" operator="equal">
      <formula>"semi-compliant"</formula>
    </cfRule>
    <cfRule type="cellIs" dxfId="64" priority="6" stopIfTrue="1" operator="equal">
      <formula>"non-compliant"</formula>
    </cfRule>
  </conditionalFormatting>
  <conditionalFormatting sqref="E10">
    <cfRule type="cellIs" dxfId="63" priority="3" stopIfTrue="1" operator="equal">
      <formula>"semi-compliant"</formula>
    </cfRule>
    <cfRule type="cellIs" dxfId="62" priority="4" stopIfTrue="1" operator="equal">
      <formula>"non-compliant"</formula>
    </cfRule>
  </conditionalFormatting>
  <conditionalFormatting sqref="E11:E21">
    <cfRule type="cellIs" dxfId="61" priority="1" stopIfTrue="1" operator="equal">
      <formula>"semi-compliant"</formula>
    </cfRule>
    <cfRule type="cellIs" dxfId="60" priority="2" stopIfTrue="1" operator="equal">
      <formula>"non-compliant"</formula>
    </cfRule>
  </conditionalFormatting>
  <hyperlinks>
    <hyperlink ref="D1" location="Introduction!A1" display="Back to introduction"/>
  </hyperlink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Lists!$B$120:$B$124</xm:f>
          </x14:formula1>
          <xm:sqref>E23:E26 E10:E21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51"/>
  <sheetViews>
    <sheetView zoomScale="80" zoomScaleNormal="80" workbookViewId="0">
      <pane ySplit="7" topLeftCell="A9" activePane="bottomLeft" state="frozen"/>
      <selection activeCell="D51" sqref="D51"/>
      <selection pane="bottomLeft" activeCell="D1" sqref="D1"/>
    </sheetView>
  </sheetViews>
  <sheetFormatPr defaultColWidth="9.109375" defaultRowHeight="13.2" x14ac:dyDescent="0.25"/>
  <cols>
    <col min="1" max="1" width="1.6640625" style="203" customWidth="1"/>
    <col min="2" max="2" width="16.44140625" style="204" customWidth="1"/>
    <col min="3" max="3" width="47.21875" style="204" customWidth="1"/>
    <col min="4" max="4" width="79.33203125" style="205" bestFit="1" customWidth="1"/>
    <col min="5" max="5" width="40.33203125" style="203" customWidth="1"/>
    <col min="6" max="6" width="13.5546875" style="205" customWidth="1"/>
    <col min="7" max="8" width="40.33203125" style="203" customWidth="1"/>
    <col min="9" max="9" width="31.44140625" style="203" customWidth="1"/>
    <col min="10" max="10" width="13.33203125" style="203" customWidth="1"/>
    <col min="11" max="16384" width="9.109375" style="203"/>
  </cols>
  <sheetData>
    <row r="1" spans="2:18" s="200" customFormat="1" ht="26.25" customHeight="1" x14ac:dyDescent="0.25">
      <c r="B1" s="197" t="s">
        <v>937</v>
      </c>
      <c r="C1" s="198"/>
      <c r="D1" s="443" t="s">
        <v>1098</v>
      </c>
      <c r="F1" s="199"/>
    </row>
    <row r="2" spans="2:18" s="200" customFormat="1" x14ac:dyDescent="0.25">
      <c r="B2" s="198"/>
      <c r="C2" s="198"/>
      <c r="D2" s="199"/>
      <c r="F2" s="199"/>
      <c r="J2" s="199"/>
    </row>
    <row r="3" spans="2:18" s="200" customFormat="1" x14ac:dyDescent="0.25">
      <c r="B3" s="198" t="s">
        <v>805</v>
      </c>
      <c r="C3" s="198"/>
      <c r="D3" s="199"/>
      <c r="F3" s="199"/>
    </row>
    <row r="4" spans="2:18" s="201" customFormat="1" x14ac:dyDescent="0.25">
      <c r="B4" s="198" t="s">
        <v>798</v>
      </c>
      <c r="C4" s="202"/>
      <c r="D4" s="202"/>
      <c r="E4" s="202"/>
      <c r="F4" s="202"/>
      <c r="G4" s="202"/>
      <c r="H4" s="202"/>
      <c r="I4" s="202"/>
      <c r="J4" s="202"/>
      <c r="K4" s="202"/>
      <c r="L4" s="202"/>
      <c r="M4" s="202"/>
      <c r="N4" s="202"/>
      <c r="O4" s="202"/>
      <c r="P4" s="202"/>
      <c r="Q4" s="202"/>
      <c r="R4" s="202"/>
    </row>
    <row r="5" spans="2:18" s="200" customFormat="1" x14ac:dyDescent="0.25">
      <c r="B5" s="198" t="s">
        <v>639</v>
      </c>
      <c r="C5" s="198"/>
      <c r="D5" s="199"/>
      <c r="F5" s="199"/>
      <c r="J5" s="199"/>
      <c r="K5" s="199"/>
    </row>
    <row r="6" spans="2:18" s="200" customFormat="1" x14ac:dyDescent="0.25">
      <c r="B6" s="198"/>
      <c r="C6" s="198"/>
      <c r="D6" s="199"/>
      <c r="F6" s="199"/>
      <c r="J6" s="199"/>
      <c r="K6" s="199"/>
    </row>
    <row r="7" spans="2:18" ht="26.4" x14ac:dyDescent="0.25">
      <c r="B7" s="279" t="s">
        <v>28</v>
      </c>
      <c r="C7" s="279" t="s">
        <v>635</v>
      </c>
      <c r="D7" s="279" t="s">
        <v>636</v>
      </c>
      <c r="E7" s="279" t="s">
        <v>3</v>
      </c>
      <c r="F7" s="279" t="s">
        <v>627</v>
      </c>
      <c r="G7" s="279" t="s">
        <v>713</v>
      </c>
      <c r="H7" s="279" t="s">
        <v>53</v>
      </c>
      <c r="I7" s="279" t="s">
        <v>638</v>
      </c>
      <c r="J7" s="279" t="s">
        <v>10</v>
      </c>
    </row>
    <row r="8" spans="2:18" s="13" customFormat="1" ht="22.2" customHeight="1" x14ac:dyDescent="0.3">
      <c r="B8" s="592" t="s">
        <v>823</v>
      </c>
      <c r="C8" s="593"/>
      <c r="D8" s="593"/>
      <c r="E8" s="593"/>
      <c r="F8" s="593"/>
      <c r="G8" s="593"/>
      <c r="H8" s="593"/>
      <c r="I8" s="593"/>
      <c r="J8" s="594"/>
      <c r="K8" s="287"/>
      <c r="L8" s="287"/>
      <c r="M8" s="287"/>
      <c r="N8" s="287"/>
    </row>
    <row r="9" spans="2:18" s="13" customFormat="1" ht="57" customHeight="1" x14ac:dyDescent="0.3">
      <c r="B9" s="438" t="s">
        <v>827</v>
      </c>
      <c r="C9" s="438" t="s">
        <v>942</v>
      </c>
      <c r="D9" s="427" t="s">
        <v>939</v>
      </c>
      <c r="E9" s="427" t="s">
        <v>938</v>
      </c>
      <c r="F9" s="428" t="s">
        <v>645</v>
      </c>
      <c r="G9" s="429"/>
      <c r="H9" s="429"/>
      <c r="I9" s="429"/>
      <c r="J9" s="324" t="s">
        <v>55</v>
      </c>
      <c r="K9" s="287"/>
      <c r="L9" s="287"/>
      <c r="M9" s="287"/>
      <c r="N9" s="287"/>
    </row>
    <row r="10" spans="2:18" s="13" customFormat="1" ht="87" customHeight="1" x14ac:dyDescent="0.3">
      <c r="B10" s="438" t="s">
        <v>884</v>
      </c>
      <c r="C10" s="438" t="s">
        <v>941</v>
      </c>
      <c r="D10" s="427" t="s">
        <v>885</v>
      </c>
      <c r="E10" s="427" t="s">
        <v>940</v>
      </c>
      <c r="F10" s="428" t="s">
        <v>645</v>
      </c>
      <c r="G10" s="429"/>
      <c r="H10" s="429"/>
      <c r="I10" s="429"/>
      <c r="J10" s="324" t="s">
        <v>55</v>
      </c>
      <c r="K10" s="287"/>
      <c r="L10" s="287"/>
      <c r="M10" s="287"/>
      <c r="N10" s="287"/>
    </row>
    <row r="11" spans="2:18" s="13" customFormat="1" ht="57" customHeight="1" x14ac:dyDescent="0.3">
      <c r="B11" s="438" t="s">
        <v>896</v>
      </c>
      <c r="C11" s="438" t="s">
        <v>895</v>
      </c>
      <c r="D11" s="427" t="s">
        <v>897</v>
      </c>
      <c r="E11" s="427" t="s">
        <v>898</v>
      </c>
      <c r="F11" s="428" t="s">
        <v>645</v>
      </c>
      <c r="G11" s="429"/>
      <c r="H11" s="429"/>
      <c r="I11" s="429"/>
      <c r="J11" s="324" t="s">
        <v>55</v>
      </c>
      <c r="K11" s="287"/>
      <c r="L11" s="287"/>
      <c r="M11" s="287"/>
      <c r="N11" s="287"/>
    </row>
    <row r="12" spans="2:18" s="13" customFormat="1" ht="22.2" customHeight="1" x14ac:dyDescent="0.3">
      <c r="B12" s="592" t="s">
        <v>886</v>
      </c>
      <c r="C12" s="593"/>
      <c r="D12" s="593"/>
      <c r="E12" s="593"/>
      <c r="F12" s="593"/>
      <c r="G12" s="593"/>
      <c r="H12" s="593"/>
      <c r="I12" s="593"/>
      <c r="J12" s="594"/>
      <c r="K12" s="287"/>
      <c r="L12" s="287"/>
      <c r="M12" s="287"/>
      <c r="N12" s="287"/>
    </row>
    <row r="13" spans="2:18" s="13" customFormat="1" ht="57" customHeight="1" x14ac:dyDescent="0.3">
      <c r="B13" s="438" t="s">
        <v>887</v>
      </c>
      <c r="C13" s="438" t="s">
        <v>888</v>
      </c>
      <c r="D13" s="427" t="s">
        <v>943</v>
      </c>
      <c r="E13" s="427" t="s">
        <v>944</v>
      </c>
      <c r="F13" s="428" t="s">
        <v>645</v>
      </c>
      <c r="G13" s="429"/>
      <c r="H13" s="429"/>
      <c r="I13" s="429"/>
      <c r="J13" s="324" t="s">
        <v>55</v>
      </c>
      <c r="K13" s="287"/>
      <c r="L13" s="287"/>
      <c r="M13" s="287"/>
      <c r="N13" s="287"/>
    </row>
    <row r="14" spans="2:18" s="13" customFormat="1" ht="57" customHeight="1" x14ac:dyDescent="0.3">
      <c r="B14" s="438" t="s">
        <v>889</v>
      </c>
      <c r="C14" s="438" t="s">
        <v>891</v>
      </c>
      <c r="D14" s="427" t="s">
        <v>945</v>
      </c>
      <c r="E14" s="427" t="s">
        <v>913</v>
      </c>
      <c r="F14" s="428" t="s">
        <v>645</v>
      </c>
      <c r="G14" s="429"/>
      <c r="H14" s="429"/>
      <c r="I14" s="429"/>
      <c r="J14" s="324" t="s">
        <v>55</v>
      </c>
      <c r="K14" s="287"/>
      <c r="L14" s="287"/>
      <c r="M14" s="287"/>
      <c r="N14" s="287"/>
    </row>
    <row r="15" spans="2:18" s="13" customFormat="1" ht="57" customHeight="1" x14ac:dyDescent="0.3">
      <c r="B15" s="438" t="s">
        <v>890</v>
      </c>
      <c r="C15" s="438" t="s">
        <v>892</v>
      </c>
      <c r="D15" s="427" t="s">
        <v>893</v>
      </c>
      <c r="E15" s="427" t="s">
        <v>946</v>
      </c>
      <c r="F15" s="428" t="s">
        <v>645</v>
      </c>
      <c r="G15" s="429"/>
      <c r="H15" s="429"/>
      <c r="I15" s="429"/>
      <c r="J15" s="324" t="s">
        <v>55</v>
      </c>
      <c r="K15" s="287"/>
      <c r="L15" s="287"/>
      <c r="M15" s="287"/>
      <c r="N15" s="287"/>
    </row>
    <row r="16" spans="2:18" s="13" customFormat="1" ht="22.2" customHeight="1" x14ac:dyDescent="0.3">
      <c r="B16" s="595" t="s">
        <v>899</v>
      </c>
      <c r="C16" s="596"/>
      <c r="D16" s="596"/>
      <c r="E16" s="596"/>
      <c r="F16" s="596"/>
      <c r="G16" s="596"/>
      <c r="H16" s="596"/>
      <c r="I16" s="596"/>
      <c r="J16" s="597"/>
      <c r="K16" s="287"/>
      <c r="L16" s="287"/>
      <c r="M16" s="287"/>
      <c r="N16" s="287"/>
    </row>
    <row r="17" spans="2:14" ht="56.25" customHeight="1" x14ac:dyDescent="0.25">
      <c r="B17" s="439" t="s">
        <v>825</v>
      </c>
      <c r="C17" s="440" t="s">
        <v>947</v>
      </c>
      <c r="D17" s="431" t="s">
        <v>803</v>
      </c>
      <c r="E17" s="431" t="s">
        <v>824</v>
      </c>
      <c r="F17" s="428" t="s">
        <v>645</v>
      </c>
      <c r="G17" s="430"/>
      <c r="H17" s="430"/>
      <c r="I17" s="430"/>
      <c r="J17" s="8"/>
      <c r="K17" s="206"/>
      <c r="L17" s="206"/>
      <c r="M17" s="206"/>
      <c r="N17" s="206"/>
    </row>
    <row r="18" spans="2:14" ht="56.25" customHeight="1" x14ac:dyDescent="0.25">
      <c r="B18" s="439" t="s">
        <v>826</v>
      </c>
      <c r="C18" s="440" t="s">
        <v>948</v>
      </c>
      <c r="D18" s="431" t="s">
        <v>804</v>
      </c>
      <c r="E18" s="431" t="s">
        <v>949</v>
      </c>
      <c r="F18" s="428" t="s">
        <v>645</v>
      </c>
      <c r="G18" s="430"/>
      <c r="H18" s="430"/>
      <c r="I18" s="430"/>
      <c r="J18" s="8"/>
      <c r="K18" s="206"/>
      <c r="L18" s="206"/>
      <c r="M18" s="206"/>
      <c r="N18" s="206"/>
    </row>
    <row r="19" spans="2:14" s="13" customFormat="1" ht="22.2" customHeight="1" x14ac:dyDescent="0.3">
      <c r="B19" s="592" t="s">
        <v>900</v>
      </c>
      <c r="C19" s="593"/>
      <c r="D19" s="593"/>
      <c r="E19" s="593"/>
      <c r="F19" s="593"/>
      <c r="G19" s="593"/>
      <c r="H19" s="593"/>
      <c r="I19" s="593"/>
      <c r="J19" s="594"/>
      <c r="K19" s="287"/>
      <c r="L19" s="287"/>
      <c r="M19" s="287"/>
      <c r="N19" s="287"/>
    </row>
    <row r="20" spans="2:14" s="13" customFormat="1" ht="56.25" customHeight="1" x14ac:dyDescent="0.3">
      <c r="B20" s="440" t="s">
        <v>904</v>
      </c>
      <c r="C20" s="440" t="s">
        <v>651</v>
      </c>
      <c r="D20" s="430" t="s">
        <v>652</v>
      </c>
      <c r="E20" s="430" t="s">
        <v>726</v>
      </c>
      <c r="F20" s="430" t="s">
        <v>645</v>
      </c>
      <c r="G20" s="430"/>
      <c r="H20" s="430"/>
      <c r="I20" s="430"/>
      <c r="J20" s="295" t="s">
        <v>55</v>
      </c>
      <c r="K20" s="287"/>
      <c r="L20" s="287"/>
      <c r="M20" s="287"/>
      <c r="N20" s="287"/>
    </row>
    <row r="21" spans="2:14" s="13" customFormat="1" ht="56.25" customHeight="1" x14ac:dyDescent="0.3">
      <c r="B21" s="440" t="s">
        <v>905</v>
      </c>
      <c r="C21" s="440" t="s">
        <v>655</v>
      </c>
      <c r="D21" s="430" t="s">
        <v>656</v>
      </c>
      <c r="E21" s="430" t="s">
        <v>726</v>
      </c>
      <c r="F21" s="430" t="s">
        <v>645</v>
      </c>
      <c r="G21" s="430"/>
      <c r="H21" s="430"/>
      <c r="I21" s="430"/>
      <c r="J21" s="8" t="s">
        <v>55</v>
      </c>
      <c r="K21" s="287"/>
      <c r="L21" s="287"/>
      <c r="M21" s="287"/>
      <c r="N21" s="287"/>
    </row>
    <row r="22" spans="2:14" ht="56.25" customHeight="1" x14ac:dyDescent="0.25">
      <c r="B22" s="440" t="s">
        <v>906</v>
      </c>
      <c r="C22" s="440" t="s">
        <v>657</v>
      </c>
      <c r="D22" s="430" t="s">
        <v>658</v>
      </c>
      <c r="E22" s="430" t="s">
        <v>726</v>
      </c>
      <c r="F22" s="430" t="s">
        <v>645</v>
      </c>
      <c r="G22" s="430"/>
      <c r="H22" s="430"/>
      <c r="I22" s="430"/>
      <c r="J22" s="8" t="s">
        <v>55</v>
      </c>
      <c r="K22" s="206"/>
      <c r="L22" s="206"/>
      <c r="M22" s="206"/>
      <c r="N22" s="206"/>
    </row>
    <row r="23" spans="2:14" ht="106.2" customHeight="1" x14ac:dyDescent="0.25">
      <c r="B23" s="440" t="s">
        <v>907</v>
      </c>
      <c r="C23" s="440" t="s">
        <v>659</v>
      </c>
      <c r="D23" s="430" t="s">
        <v>859</v>
      </c>
      <c r="E23" s="430" t="s">
        <v>860</v>
      </c>
      <c r="F23" s="430" t="s">
        <v>645</v>
      </c>
      <c r="G23" s="430"/>
      <c r="H23" s="430"/>
      <c r="I23" s="430"/>
      <c r="J23" s="425" t="s">
        <v>55</v>
      </c>
      <c r="K23" s="206"/>
      <c r="L23" s="206"/>
      <c r="M23" s="206"/>
      <c r="N23" s="206"/>
    </row>
    <row r="24" spans="2:14" ht="55.5" customHeight="1" x14ac:dyDescent="0.25">
      <c r="B24" s="440" t="s">
        <v>908</v>
      </c>
      <c r="C24" s="440" t="s">
        <v>901</v>
      </c>
      <c r="D24" s="430" t="s">
        <v>894</v>
      </c>
      <c r="E24" s="430" t="s">
        <v>950</v>
      </c>
      <c r="F24" s="430" t="s">
        <v>645</v>
      </c>
      <c r="G24" s="430"/>
      <c r="H24" s="430"/>
      <c r="I24" s="430"/>
      <c r="J24" s="8" t="s">
        <v>55</v>
      </c>
      <c r="K24" s="206"/>
      <c r="L24" s="206"/>
      <c r="M24" s="206"/>
      <c r="N24" s="206"/>
    </row>
    <row r="25" spans="2:14" s="13" customFormat="1" ht="22.2" customHeight="1" x14ac:dyDescent="0.3">
      <c r="B25" s="592" t="s">
        <v>902</v>
      </c>
      <c r="C25" s="593"/>
      <c r="D25" s="593"/>
      <c r="E25" s="593"/>
      <c r="F25" s="593"/>
      <c r="G25" s="593"/>
      <c r="H25" s="593"/>
      <c r="I25" s="593"/>
      <c r="J25" s="594"/>
      <c r="K25" s="287"/>
      <c r="L25" s="287"/>
      <c r="M25" s="287"/>
      <c r="N25" s="287"/>
    </row>
    <row r="26" spans="2:14" ht="57" customHeight="1" x14ac:dyDescent="0.25">
      <c r="B26" s="440" t="s">
        <v>909</v>
      </c>
      <c r="C26" s="440" t="s">
        <v>662</v>
      </c>
      <c r="D26" s="430" t="s">
        <v>663</v>
      </c>
      <c r="E26" s="430" t="s">
        <v>664</v>
      </c>
      <c r="F26" s="430" t="s">
        <v>645</v>
      </c>
      <c r="G26" s="430"/>
      <c r="H26" s="430"/>
      <c r="I26" s="430"/>
      <c r="J26" s="8" t="s">
        <v>55</v>
      </c>
      <c r="K26" s="206"/>
      <c r="L26" s="206"/>
      <c r="M26" s="206"/>
      <c r="N26" s="206"/>
    </row>
    <row r="27" spans="2:14" ht="57" customHeight="1" x14ac:dyDescent="0.25">
      <c r="B27" s="440" t="s">
        <v>910</v>
      </c>
      <c r="C27" s="440" t="s">
        <v>665</v>
      </c>
      <c r="D27" s="430" t="s">
        <v>799</v>
      </c>
      <c r="E27" s="430" t="s">
        <v>951</v>
      </c>
      <c r="F27" s="430" t="s">
        <v>645</v>
      </c>
      <c r="G27" s="430"/>
      <c r="H27" s="430"/>
      <c r="I27" s="430"/>
      <c r="J27" s="8" t="s">
        <v>55</v>
      </c>
      <c r="K27" s="206"/>
      <c r="L27" s="206"/>
      <c r="M27" s="206"/>
      <c r="N27" s="206"/>
    </row>
    <row r="28" spans="2:14" s="13" customFormat="1" ht="22.2" customHeight="1" x14ac:dyDescent="0.3">
      <c r="B28" s="592" t="s">
        <v>903</v>
      </c>
      <c r="C28" s="593"/>
      <c r="D28" s="593"/>
      <c r="E28" s="593"/>
      <c r="F28" s="593"/>
      <c r="G28" s="593"/>
      <c r="H28" s="593"/>
      <c r="I28" s="593"/>
      <c r="J28" s="594"/>
      <c r="K28" s="287"/>
      <c r="L28" s="287"/>
      <c r="M28" s="287"/>
      <c r="N28" s="287"/>
    </row>
    <row r="29" spans="2:14" ht="66" x14ac:dyDescent="0.25">
      <c r="B29" s="440" t="s">
        <v>931</v>
      </c>
      <c r="C29" s="440" t="s">
        <v>666</v>
      </c>
      <c r="D29" s="430" t="s">
        <v>857</v>
      </c>
      <c r="E29" s="430" t="s">
        <v>858</v>
      </c>
      <c r="F29" s="430" t="s">
        <v>645</v>
      </c>
      <c r="G29" s="430"/>
      <c r="H29" s="430"/>
      <c r="I29" s="430"/>
      <c r="J29" s="8" t="s">
        <v>55</v>
      </c>
      <c r="K29" s="206"/>
      <c r="L29" s="206"/>
      <c r="M29" s="206"/>
      <c r="N29" s="206"/>
    </row>
    <row r="30" spans="2:14" ht="57" customHeight="1" x14ac:dyDescent="0.25">
      <c r="B30" s="440" t="s">
        <v>914</v>
      </c>
      <c r="C30" s="440" t="s">
        <v>830</v>
      </c>
      <c r="D30" s="430" t="s">
        <v>829</v>
      </c>
      <c r="E30" s="430" t="s">
        <v>831</v>
      </c>
      <c r="F30" s="430" t="s">
        <v>645</v>
      </c>
      <c r="G30" s="430"/>
      <c r="H30" s="430"/>
      <c r="I30" s="430"/>
      <c r="J30" s="324"/>
      <c r="K30" s="206"/>
      <c r="L30" s="206"/>
      <c r="M30" s="206"/>
      <c r="N30" s="206"/>
    </row>
    <row r="31" spans="2:14" ht="57" customHeight="1" x14ac:dyDescent="0.25">
      <c r="B31" s="440" t="s">
        <v>915</v>
      </c>
      <c r="C31" s="440" t="s">
        <v>847</v>
      </c>
      <c r="D31" s="430" t="s">
        <v>834</v>
      </c>
      <c r="E31" s="430" t="s">
        <v>831</v>
      </c>
      <c r="F31" s="430" t="s">
        <v>645</v>
      </c>
      <c r="G31" s="430"/>
      <c r="H31" s="430"/>
      <c r="I31" s="430"/>
      <c r="J31" s="324"/>
      <c r="K31" s="206"/>
      <c r="L31" s="206"/>
      <c r="M31" s="206"/>
      <c r="N31" s="206"/>
    </row>
    <row r="32" spans="2:14" ht="57" customHeight="1" x14ac:dyDescent="0.25">
      <c r="B32" s="440" t="s">
        <v>916</v>
      </c>
      <c r="C32" s="440" t="s">
        <v>833</v>
      </c>
      <c r="D32" s="430" t="s">
        <v>832</v>
      </c>
      <c r="E32" s="430" t="s">
        <v>835</v>
      </c>
      <c r="F32" s="430" t="s">
        <v>645</v>
      </c>
      <c r="G32" s="430"/>
      <c r="H32" s="430"/>
      <c r="I32" s="430"/>
      <c r="J32" s="324"/>
      <c r="K32" s="206"/>
      <c r="L32" s="206"/>
      <c r="M32" s="206"/>
      <c r="N32" s="206"/>
    </row>
    <row r="33" spans="2:14" ht="57" customHeight="1" x14ac:dyDescent="0.25">
      <c r="B33" s="440" t="s">
        <v>917</v>
      </c>
      <c r="C33" s="440" t="s">
        <v>848</v>
      </c>
      <c r="D33" s="430" t="s">
        <v>836</v>
      </c>
      <c r="E33" s="430" t="s">
        <v>831</v>
      </c>
      <c r="F33" s="430" t="s">
        <v>645</v>
      </c>
      <c r="G33" s="430"/>
      <c r="H33" s="430"/>
      <c r="I33" s="430"/>
      <c r="J33" s="324"/>
      <c r="K33" s="206"/>
      <c r="L33" s="206"/>
      <c r="M33" s="206"/>
      <c r="N33" s="206"/>
    </row>
    <row r="34" spans="2:14" ht="57" customHeight="1" x14ac:dyDescent="0.25">
      <c r="B34" s="440" t="s">
        <v>918</v>
      </c>
      <c r="C34" s="440" t="s">
        <v>849</v>
      </c>
      <c r="D34" s="430" t="s">
        <v>837</v>
      </c>
      <c r="E34" s="430" t="s">
        <v>838</v>
      </c>
      <c r="F34" s="430" t="s">
        <v>645</v>
      </c>
      <c r="G34" s="430"/>
      <c r="H34" s="430"/>
      <c r="I34" s="430"/>
      <c r="J34" s="324"/>
      <c r="K34" s="206"/>
      <c r="L34" s="206"/>
      <c r="M34" s="206"/>
      <c r="N34" s="206"/>
    </row>
    <row r="35" spans="2:14" ht="57" customHeight="1" x14ac:dyDescent="0.25">
      <c r="B35" s="440" t="s">
        <v>919</v>
      </c>
      <c r="C35" s="440" t="s">
        <v>850</v>
      </c>
      <c r="D35" s="430" t="s">
        <v>839</v>
      </c>
      <c r="E35" s="430" t="s">
        <v>835</v>
      </c>
      <c r="F35" s="430" t="s">
        <v>645</v>
      </c>
      <c r="G35" s="430"/>
      <c r="H35" s="430"/>
      <c r="I35" s="430"/>
      <c r="J35" s="324"/>
      <c r="K35" s="206"/>
      <c r="L35" s="206"/>
      <c r="M35" s="206"/>
      <c r="N35" s="206"/>
    </row>
    <row r="36" spans="2:14" ht="57" customHeight="1" x14ac:dyDescent="0.25">
      <c r="B36" s="440" t="s">
        <v>920</v>
      </c>
      <c r="C36" s="440" t="s">
        <v>851</v>
      </c>
      <c r="D36" s="430" t="s">
        <v>840</v>
      </c>
      <c r="E36" s="430" t="s">
        <v>831</v>
      </c>
      <c r="F36" s="430" t="s">
        <v>645</v>
      </c>
      <c r="G36" s="430"/>
      <c r="H36" s="430"/>
      <c r="I36" s="430"/>
      <c r="J36" s="324"/>
      <c r="K36" s="206"/>
      <c r="L36" s="206"/>
      <c r="M36" s="206"/>
      <c r="N36" s="206"/>
    </row>
    <row r="37" spans="2:14" ht="57" customHeight="1" x14ac:dyDescent="0.25">
      <c r="B37" s="440" t="s">
        <v>921</v>
      </c>
      <c r="C37" s="440" t="s">
        <v>852</v>
      </c>
      <c r="D37" s="430" t="s">
        <v>911</v>
      </c>
      <c r="E37" s="430" t="s">
        <v>841</v>
      </c>
      <c r="F37" s="430" t="s">
        <v>645</v>
      </c>
      <c r="G37" s="430"/>
      <c r="H37" s="430"/>
      <c r="I37" s="430"/>
      <c r="J37" s="324"/>
      <c r="K37" s="206"/>
      <c r="L37" s="206"/>
      <c r="M37" s="206"/>
      <c r="N37" s="206"/>
    </row>
    <row r="38" spans="2:14" ht="57" customHeight="1" x14ac:dyDescent="0.25">
      <c r="B38" s="440" t="s">
        <v>922</v>
      </c>
      <c r="C38" s="440" t="s">
        <v>853</v>
      </c>
      <c r="D38" s="430" t="s">
        <v>842</v>
      </c>
      <c r="E38" s="430" t="s">
        <v>831</v>
      </c>
      <c r="F38" s="430" t="s">
        <v>645</v>
      </c>
      <c r="G38" s="430"/>
      <c r="H38" s="430"/>
      <c r="I38" s="430"/>
      <c r="J38" s="324"/>
      <c r="K38" s="206"/>
      <c r="L38" s="206"/>
      <c r="M38" s="206"/>
      <c r="N38" s="206"/>
    </row>
    <row r="39" spans="2:14" ht="57" customHeight="1" x14ac:dyDescent="0.25">
      <c r="B39" s="440" t="s">
        <v>923</v>
      </c>
      <c r="C39" s="440" t="s">
        <v>854</v>
      </c>
      <c r="D39" s="430" t="s">
        <v>843</v>
      </c>
      <c r="E39" s="430" t="s">
        <v>844</v>
      </c>
      <c r="F39" s="430" t="s">
        <v>645</v>
      </c>
      <c r="G39" s="430"/>
      <c r="H39" s="430"/>
      <c r="I39" s="430"/>
      <c r="J39" s="324"/>
      <c r="K39" s="206"/>
      <c r="L39" s="206"/>
      <c r="M39" s="206"/>
      <c r="N39" s="206"/>
    </row>
    <row r="40" spans="2:14" ht="57" customHeight="1" x14ac:dyDescent="0.25">
      <c r="B40" s="440" t="s">
        <v>924</v>
      </c>
      <c r="C40" s="440" t="s">
        <v>855</v>
      </c>
      <c r="D40" s="430" t="s">
        <v>845</v>
      </c>
      <c r="E40" s="430" t="s">
        <v>844</v>
      </c>
      <c r="F40" s="430" t="s">
        <v>645</v>
      </c>
      <c r="G40" s="430"/>
      <c r="H40" s="430"/>
      <c r="I40" s="430"/>
      <c r="J40" s="324"/>
      <c r="K40" s="206"/>
      <c r="L40" s="206"/>
      <c r="M40" s="206"/>
      <c r="N40" s="206"/>
    </row>
    <row r="41" spans="2:14" ht="57" customHeight="1" x14ac:dyDescent="0.25">
      <c r="B41" s="440" t="s">
        <v>925</v>
      </c>
      <c r="C41" s="440" t="s">
        <v>856</v>
      </c>
      <c r="D41" s="430" t="s">
        <v>846</v>
      </c>
      <c r="E41" s="430" t="s">
        <v>844</v>
      </c>
      <c r="F41" s="430" t="s">
        <v>645</v>
      </c>
      <c r="G41" s="430"/>
      <c r="H41" s="430"/>
      <c r="I41" s="430"/>
      <c r="J41" s="324"/>
      <c r="K41" s="206"/>
      <c r="L41" s="206"/>
      <c r="M41" s="206"/>
      <c r="N41" s="206"/>
    </row>
    <row r="42" spans="2:14" x14ac:dyDescent="0.25">
      <c r="E42" s="206"/>
      <c r="G42" s="206"/>
      <c r="H42" s="206"/>
      <c r="I42" s="206"/>
      <c r="J42" s="206"/>
      <c r="K42" s="206"/>
      <c r="L42" s="206"/>
      <c r="M42" s="206"/>
      <c r="N42" s="206"/>
    </row>
    <row r="43" spans="2:14" x14ac:dyDescent="0.25">
      <c r="E43" s="206"/>
      <c r="G43" s="206"/>
      <c r="H43" s="206"/>
      <c r="I43" s="206"/>
      <c r="J43" s="206"/>
      <c r="K43" s="206"/>
      <c r="L43" s="206"/>
      <c r="M43" s="206"/>
      <c r="N43" s="206"/>
    </row>
    <row r="44" spans="2:14" x14ac:dyDescent="0.25">
      <c r="E44" s="206"/>
      <c r="G44" s="206"/>
      <c r="H44" s="206"/>
      <c r="I44" s="206"/>
      <c r="J44" s="206"/>
      <c r="K44" s="206"/>
      <c r="L44" s="206"/>
      <c r="M44" s="206"/>
      <c r="N44" s="206"/>
    </row>
    <row r="45" spans="2:14" x14ac:dyDescent="0.25">
      <c r="E45" s="206"/>
      <c r="G45" s="206"/>
      <c r="H45" s="206"/>
      <c r="I45" s="206"/>
      <c r="J45" s="206"/>
      <c r="K45" s="206"/>
      <c r="L45" s="206"/>
      <c r="M45" s="206"/>
      <c r="N45" s="206"/>
    </row>
    <row r="46" spans="2:14" x14ac:dyDescent="0.25">
      <c r="D46" s="206"/>
      <c r="E46" s="206"/>
      <c r="G46" s="206"/>
      <c r="H46" s="206"/>
      <c r="I46" s="206"/>
      <c r="J46" s="206"/>
      <c r="K46" s="206"/>
      <c r="L46" s="206"/>
      <c r="M46" s="206"/>
      <c r="N46" s="206"/>
    </row>
    <row r="47" spans="2:14" x14ac:dyDescent="0.25">
      <c r="D47" s="206"/>
      <c r="E47" s="206"/>
      <c r="G47" s="206"/>
      <c r="H47" s="206"/>
      <c r="I47" s="206"/>
      <c r="J47" s="206"/>
      <c r="K47" s="206"/>
      <c r="L47" s="206"/>
      <c r="M47" s="206"/>
      <c r="N47" s="206"/>
    </row>
    <row r="48" spans="2:14" x14ac:dyDescent="0.25">
      <c r="D48" s="206"/>
      <c r="E48" s="206"/>
      <c r="G48" s="206"/>
      <c r="H48" s="206"/>
      <c r="I48" s="206"/>
      <c r="J48" s="206"/>
      <c r="K48" s="206"/>
      <c r="L48" s="206"/>
      <c r="M48" s="206"/>
      <c r="N48" s="206"/>
    </row>
    <row r="49" spans="4:4" x14ac:dyDescent="0.25">
      <c r="D49" s="206"/>
    </row>
    <row r="50" spans="4:4" x14ac:dyDescent="0.25">
      <c r="D50" s="206"/>
    </row>
    <row r="51" spans="4:4" x14ac:dyDescent="0.25">
      <c r="D51" s="206"/>
    </row>
  </sheetData>
  <mergeCells count="6">
    <mergeCell ref="B25:J25"/>
    <mergeCell ref="B28:J28"/>
    <mergeCell ref="B16:J16"/>
    <mergeCell ref="B8:J8"/>
    <mergeCell ref="B19:J19"/>
    <mergeCell ref="B12:J12"/>
  </mergeCells>
  <conditionalFormatting sqref="F9">
    <cfRule type="cellIs" dxfId="59" priority="17" stopIfTrue="1" operator="equal">
      <formula>"semi-compliant"</formula>
    </cfRule>
    <cfRule type="cellIs" dxfId="58" priority="18" stopIfTrue="1" operator="equal">
      <formula>"non-compliant"</formula>
    </cfRule>
  </conditionalFormatting>
  <conditionalFormatting sqref="F10:F11">
    <cfRule type="cellIs" dxfId="57" priority="15" stopIfTrue="1" operator="equal">
      <formula>"semi-compliant"</formula>
    </cfRule>
    <cfRule type="cellIs" dxfId="56" priority="16" stopIfTrue="1" operator="equal">
      <formula>"non-compliant"</formula>
    </cfRule>
  </conditionalFormatting>
  <conditionalFormatting sqref="F13:F15">
    <cfRule type="cellIs" dxfId="55" priority="13" stopIfTrue="1" operator="equal">
      <formula>"semi-compliant"</formula>
    </cfRule>
    <cfRule type="cellIs" dxfId="54" priority="14" stopIfTrue="1" operator="equal">
      <formula>"non-compliant"</formula>
    </cfRule>
  </conditionalFormatting>
  <conditionalFormatting sqref="F17:F18">
    <cfRule type="cellIs" dxfId="53" priority="11" stopIfTrue="1" operator="equal">
      <formula>"semi-compliant"</formula>
    </cfRule>
    <cfRule type="cellIs" dxfId="52" priority="12" stopIfTrue="1" operator="equal">
      <formula>"non-compliant"</formula>
    </cfRule>
  </conditionalFormatting>
  <hyperlinks>
    <hyperlink ref="D1" location="Introduction!A1" display="Back to introduction"/>
  </hyperlink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Lists!$B$120:$B$124</xm:f>
          </x14:formula1>
          <xm:sqref>F13:F15 F9:F11 F17:F18 F29:F41 F26:F27 F20:F23 F24</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33"/>
  <sheetViews>
    <sheetView zoomScale="80" zoomScaleNormal="80" workbookViewId="0">
      <pane ySplit="7" topLeftCell="A8" activePane="bottomLeft" state="frozen"/>
      <selection activeCell="D51" sqref="D51"/>
      <selection pane="bottomLeft" activeCell="E1" sqref="E1"/>
    </sheetView>
  </sheetViews>
  <sheetFormatPr defaultColWidth="9.109375" defaultRowHeight="13.2" x14ac:dyDescent="0.25"/>
  <cols>
    <col min="1" max="1" width="1.6640625" style="203" customWidth="1"/>
    <col min="2" max="2" width="16.44140625" style="204" customWidth="1"/>
    <col min="3" max="3" width="43.33203125" style="204" customWidth="1"/>
    <col min="4" max="4" width="79.33203125" style="205" bestFit="1" customWidth="1"/>
    <col min="5" max="5" width="40.33203125" style="203" customWidth="1"/>
    <col min="6" max="6" width="13.5546875" style="205" customWidth="1"/>
    <col min="7" max="8" width="40.33203125" style="203" customWidth="1"/>
    <col min="9" max="9" width="31.44140625" style="203" customWidth="1"/>
    <col min="10" max="10" width="13.33203125" style="203" customWidth="1"/>
    <col min="11" max="16384" width="9.109375" style="203"/>
  </cols>
  <sheetData>
    <row r="1" spans="2:18" s="200" customFormat="1" ht="17.399999999999999" x14ac:dyDescent="0.25">
      <c r="B1" s="197" t="s">
        <v>681</v>
      </c>
      <c r="C1" s="198"/>
      <c r="D1" s="199"/>
      <c r="E1" s="443" t="s">
        <v>1098</v>
      </c>
      <c r="F1" s="199"/>
    </row>
    <row r="2" spans="2:18" s="200" customFormat="1" x14ac:dyDescent="0.25">
      <c r="B2" s="198"/>
      <c r="C2" s="198"/>
      <c r="D2" s="199"/>
      <c r="F2" s="199"/>
      <c r="J2" s="199"/>
    </row>
    <row r="3" spans="2:18" s="200" customFormat="1" x14ac:dyDescent="0.25">
      <c r="B3" s="198" t="s">
        <v>797</v>
      </c>
      <c r="C3" s="198"/>
      <c r="D3" s="199"/>
      <c r="F3" s="199"/>
    </row>
    <row r="4" spans="2:18" s="201" customFormat="1" x14ac:dyDescent="0.25">
      <c r="B4" s="198" t="s">
        <v>798</v>
      </c>
      <c r="C4" s="202"/>
      <c r="D4" s="202"/>
      <c r="E4" s="202"/>
      <c r="F4" s="202"/>
      <c r="G4" s="202"/>
      <c r="H4" s="202"/>
      <c r="I4" s="202"/>
      <c r="J4" s="202"/>
      <c r="K4" s="202"/>
      <c r="L4" s="202"/>
      <c r="M4" s="202"/>
      <c r="N4" s="202"/>
      <c r="O4" s="202"/>
      <c r="P4" s="202"/>
      <c r="Q4" s="202"/>
      <c r="R4" s="202"/>
    </row>
    <row r="5" spans="2:18" s="200" customFormat="1" x14ac:dyDescent="0.25">
      <c r="B5" s="198" t="s">
        <v>639</v>
      </c>
      <c r="C5" s="198"/>
      <c r="D5" s="199"/>
      <c r="F5" s="199"/>
      <c r="J5" s="199"/>
      <c r="K5" s="199"/>
    </row>
    <row r="6" spans="2:18" s="200" customFormat="1" x14ac:dyDescent="0.25">
      <c r="B6" s="198"/>
      <c r="C6" s="198"/>
      <c r="D6" s="199"/>
      <c r="F6" s="199"/>
      <c r="J6" s="199"/>
      <c r="K6" s="199"/>
    </row>
    <row r="7" spans="2:18" ht="26.4" x14ac:dyDescent="0.25">
      <c r="B7" s="279" t="s">
        <v>28</v>
      </c>
      <c r="C7" s="279" t="s">
        <v>635</v>
      </c>
      <c r="D7" s="279" t="s">
        <v>636</v>
      </c>
      <c r="E7" s="279" t="s">
        <v>3</v>
      </c>
      <c r="F7" s="279" t="s">
        <v>627</v>
      </c>
      <c r="G7" s="279" t="s">
        <v>713</v>
      </c>
      <c r="H7" s="279" t="s">
        <v>53</v>
      </c>
      <c r="I7" s="279" t="s">
        <v>638</v>
      </c>
      <c r="J7" s="279" t="s">
        <v>10</v>
      </c>
    </row>
    <row r="8" spans="2:18" ht="29.25" customHeight="1" x14ac:dyDescent="0.25">
      <c r="B8" s="606" t="s">
        <v>653</v>
      </c>
      <c r="C8" s="607"/>
      <c r="D8" s="607"/>
      <c r="E8" s="607"/>
      <c r="F8" s="607"/>
      <c r="G8" s="607"/>
      <c r="H8" s="607"/>
      <c r="I8" s="607"/>
      <c r="J8" s="608"/>
    </row>
    <row r="9" spans="2:18" s="13" customFormat="1" ht="115.2" customHeight="1" x14ac:dyDescent="0.3">
      <c r="B9" s="609" t="s">
        <v>714</v>
      </c>
      <c r="C9" s="610"/>
      <c r="D9" s="610"/>
      <c r="E9" s="610"/>
      <c r="F9" s="610"/>
      <c r="G9" s="610"/>
      <c r="H9" s="610"/>
      <c r="I9" s="610"/>
      <c r="J9" s="611"/>
      <c r="K9" s="287"/>
      <c r="L9" s="287"/>
      <c r="M9" s="287"/>
      <c r="N9" s="287"/>
    </row>
    <row r="10" spans="2:18" ht="172.2" customHeight="1" x14ac:dyDescent="0.25">
      <c r="B10" s="438" t="s">
        <v>650</v>
      </c>
      <c r="C10" s="438" t="s">
        <v>660</v>
      </c>
      <c r="D10" s="427" t="s">
        <v>661</v>
      </c>
      <c r="E10" s="427" t="s">
        <v>828</v>
      </c>
      <c r="F10" s="427" t="s">
        <v>645</v>
      </c>
      <c r="G10" s="427"/>
      <c r="H10" s="427"/>
      <c r="I10" s="427"/>
      <c r="J10" s="425" t="s">
        <v>55</v>
      </c>
      <c r="K10" s="206"/>
      <c r="L10" s="206"/>
      <c r="M10" s="206"/>
      <c r="N10" s="206"/>
    </row>
    <row r="11" spans="2:18" ht="147.75" customHeight="1" x14ac:dyDescent="0.25">
      <c r="B11" s="438" t="s">
        <v>654</v>
      </c>
      <c r="C11" s="438" t="s">
        <v>667</v>
      </c>
      <c r="D11" s="427" t="s">
        <v>668</v>
      </c>
      <c r="E11" s="427" t="s">
        <v>807</v>
      </c>
      <c r="F11" s="427" t="s">
        <v>645</v>
      </c>
      <c r="G11" s="427"/>
      <c r="H11" s="427"/>
      <c r="I11" s="427"/>
      <c r="J11" s="8" t="s">
        <v>55</v>
      </c>
      <c r="K11" s="206"/>
      <c r="L11" s="206"/>
      <c r="M11" s="206"/>
      <c r="N11" s="206"/>
    </row>
    <row r="12" spans="2:18" ht="30" customHeight="1" x14ac:dyDescent="0.25">
      <c r="B12" s="606" t="s">
        <v>669</v>
      </c>
      <c r="C12" s="607"/>
      <c r="D12" s="607"/>
      <c r="E12" s="607"/>
      <c r="F12" s="607"/>
      <c r="G12" s="607"/>
      <c r="H12" s="607"/>
      <c r="I12" s="607"/>
      <c r="J12" s="608"/>
      <c r="K12" s="206"/>
      <c r="L12" s="206"/>
      <c r="M12" s="206"/>
      <c r="N12" s="206"/>
    </row>
    <row r="13" spans="2:18" ht="13.2" customHeight="1" x14ac:dyDescent="0.25">
      <c r="B13" s="598" t="s">
        <v>715</v>
      </c>
      <c r="C13" s="599"/>
      <c r="D13" s="599"/>
      <c r="E13" s="599"/>
      <c r="F13" s="600"/>
      <c r="G13" s="600"/>
      <c r="H13" s="600"/>
      <c r="I13" s="600"/>
      <c r="J13" s="601"/>
      <c r="K13" s="206"/>
      <c r="L13" s="206"/>
      <c r="M13" s="206"/>
      <c r="N13" s="206"/>
    </row>
    <row r="14" spans="2:18" ht="25.2" customHeight="1" x14ac:dyDescent="0.25">
      <c r="B14" s="602"/>
      <c r="C14" s="603"/>
      <c r="D14" s="603"/>
      <c r="E14" s="603"/>
      <c r="F14" s="604"/>
      <c r="G14" s="604"/>
      <c r="H14" s="604"/>
      <c r="I14" s="604"/>
      <c r="J14" s="605"/>
      <c r="K14" s="206"/>
      <c r="L14" s="206"/>
      <c r="M14" s="206"/>
      <c r="N14" s="206"/>
    </row>
    <row r="15" spans="2:18" ht="196.5" customHeight="1" x14ac:dyDescent="0.25">
      <c r="B15" s="438" t="s">
        <v>670</v>
      </c>
      <c r="C15" s="438" t="s">
        <v>1090</v>
      </c>
      <c r="D15" s="427" t="s">
        <v>671</v>
      </c>
      <c r="E15" s="427" t="s">
        <v>811</v>
      </c>
      <c r="F15" s="427" t="s">
        <v>645</v>
      </c>
      <c r="G15" s="427"/>
      <c r="H15" s="427"/>
      <c r="I15" s="427"/>
      <c r="J15" s="8" t="s">
        <v>55</v>
      </c>
      <c r="K15" s="206"/>
      <c r="L15" s="206"/>
      <c r="M15" s="206"/>
      <c r="N15" s="206"/>
    </row>
    <row r="16" spans="2:18" ht="222" customHeight="1" x14ac:dyDescent="0.25">
      <c r="B16" s="438" t="s">
        <v>672</v>
      </c>
      <c r="C16" s="438" t="s">
        <v>1091</v>
      </c>
      <c r="D16" s="427" t="s">
        <v>800</v>
      </c>
      <c r="E16" s="427" t="s">
        <v>812</v>
      </c>
      <c r="F16" s="427" t="s">
        <v>645</v>
      </c>
      <c r="G16" s="427"/>
      <c r="H16" s="427"/>
      <c r="I16" s="427"/>
      <c r="J16" s="8" t="s">
        <v>55</v>
      </c>
      <c r="K16" s="206"/>
      <c r="L16" s="206"/>
      <c r="M16" s="206"/>
      <c r="N16" s="206"/>
    </row>
    <row r="17" spans="2:14" ht="409.6" x14ac:dyDescent="0.25">
      <c r="B17" s="438" t="s">
        <v>728</v>
      </c>
      <c r="C17" s="438" t="s">
        <v>667</v>
      </c>
      <c r="D17" s="427" t="s">
        <v>668</v>
      </c>
      <c r="E17" s="427" t="s">
        <v>813</v>
      </c>
      <c r="F17" s="427" t="s">
        <v>645</v>
      </c>
      <c r="G17" s="427"/>
      <c r="H17" s="427"/>
      <c r="I17" s="427"/>
      <c r="J17" s="8" t="s">
        <v>55</v>
      </c>
      <c r="K17" s="206"/>
      <c r="L17" s="206"/>
      <c r="M17" s="206"/>
      <c r="N17" s="206"/>
    </row>
    <row r="18" spans="2:14" ht="30" customHeight="1" x14ac:dyDescent="0.25">
      <c r="B18" s="606" t="s">
        <v>673</v>
      </c>
      <c r="C18" s="607"/>
      <c r="D18" s="607"/>
      <c r="E18" s="607"/>
      <c r="F18" s="607"/>
      <c r="G18" s="607"/>
      <c r="H18" s="607"/>
      <c r="I18" s="607"/>
      <c r="J18" s="608"/>
      <c r="K18" s="206"/>
      <c r="L18" s="206"/>
      <c r="M18" s="206"/>
      <c r="N18" s="206"/>
    </row>
    <row r="19" spans="2:14" x14ac:dyDescent="0.25">
      <c r="B19" s="598" t="s">
        <v>716</v>
      </c>
      <c r="C19" s="599"/>
      <c r="D19" s="599"/>
      <c r="E19" s="599"/>
      <c r="F19" s="600"/>
      <c r="G19" s="600"/>
      <c r="H19" s="600"/>
      <c r="I19" s="600"/>
      <c r="J19" s="601"/>
      <c r="K19" s="206"/>
      <c r="L19" s="206"/>
      <c r="M19" s="206"/>
      <c r="N19" s="206"/>
    </row>
    <row r="20" spans="2:14" ht="30.6" customHeight="1" x14ac:dyDescent="0.25">
      <c r="B20" s="602"/>
      <c r="C20" s="603"/>
      <c r="D20" s="603"/>
      <c r="E20" s="603"/>
      <c r="F20" s="604"/>
      <c r="G20" s="604"/>
      <c r="H20" s="604"/>
      <c r="I20" s="604"/>
      <c r="J20" s="605"/>
      <c r="K20" s="206"/>
      <c r="L20" s="206"/>
      <c r="M20" s="206"/>
      <c r="N20" s="206"/>
    </row>
    <row r="21" spans="2:14" ht="131.25" customHeight="1" x14ac:dyDescent="0.25">
      <c r="B21" s="438" t="s">
        <v>674</v>
      </c>
      <c r="C21" s="438" t="s">
        <v>675</v>
      </c>
      <c r="D21" s="427" t="s">
        <v>676</v>
      </c>
      <c r="E21" s="427" t="s">
        <v>815</v>
      </c>
      <c r="F21" s="427" t="s">
        <v>645</v>
      </c>
      <c r="G21" s="427"/>
      <c r="H21" s="427"/>
      <c r="I21" s="427"/>
      <c r="J21" s="8" t="s">
        <v>55</v>
      </c>
      <c r="K21" s="206"/>
      <c r="L21" s="206"/>
      <c r="M21" s="206"/>
      <c r="N21" s="206"/>
    </row>
    <row r="22" spans="2:14" ht="131.25" customHeight="1" x14ac:dyDescent="0.25">
      <c r="B22" s="438" t="s">
        <v>677</v>
      </c>
      <c r="C22" s="438" t="s">
        <v>678</v>
      </c>
      <c r="D22" s="427" t="s">
        <v>679</v>
      </c>
      <c r="E22" s="427" t="s">
        <v>814</v>
      </c>
      <c r="F22" s="427" t="s">
        <v>645</v>
      </c>
      <c r="G22" s="427"/>
      <c r="H22" s="427"/>
      <c r="I22" s="427"/>
      <c r="J22" s="8" t="s">
        <v>55</v>
      </c>
      <c r="K22" s="206"/>
      <c r="L22" s="206"/>
      <c r="M22" s="206"/>
      <c r="N22" s="206"/>
    </row>
    <row r="23" spans="2:14" ht="131.25" customHeight="1" x14ac:dyDescent="0.25">
      <c r="B23" s="438" t="s">
        <v>680</v>
      </c>
      <c r="C23" s="438" t="s">
        <v>667</v>
      </c>
      <c r="D23" s="427" t="s">
        <v>668</v>
      </c>
      <c r="E23" s="427" t="s">
        <v>932</v>
      </c>
      <c r="F23" s="427" t="s">
        <v>645</v>
      </c>
      <c r="G23" s="427"/>
      <c r="H23" s="427"/>
      <c r="I23" s="427"/>
      <c r="J23" s="8" t="s">
        <v>55</v>
      </c>
      <c r="K23" s="206"/>
      <c r="L23" s="206"/>
      <c r="M23" s="206"/>
      <c r="N23" s="206"/>
    </row>
    <row r="24" spans="2:14" x14ac:dyDescent="0.25">
      <c r="E24" s="206"/>
      <c r="G24" s="206"/>
      <c r="H24" s="206"/>
      <c r="I24" s="206"/>
      <c r="J24" s="206"/>
      <c r="K24" s="206"/>
      <c r="L24" s="206"/>
      <c r="M24" s="206"/>
      <c r="N24" s="206"/>
    </row>
    <row r="25" spans="2:14" x14ac:dyDescent="0.25">
      <c r="E25" s="206"/>
      <c r="G25" s="206"/>
      <c r="H25" s="206"/>
      <c r="I25" s="206"/>
      <c r="J25" s="206"/>
      <c r="K25" s="206"/>
      <c r="L25" s="206"/>
      <c r="M25" s="206"/>
      <c r="N25" s="206"/>
    </row>
    <row r="26" spans="2:14" x14ac:dyDescent="0.25">
      <c r="E26" s="206"/>
      <c r="G26" s="206"/>
      <c r="H26" s="206"/>
      <c r="I26" s="206"/>
      <c r="J26" s="206"/>
      <c r="K26" s="206"/>
      <c r="L26" s="206"/>
      <c r="M26" s="206"/>
      <c r="N26" s="206"/>
    </row>
    <row r="27" spans="2:14" x14ac:dyDescent="0.25">
      <c r="E27" s="206"/>
      <c r="G27" s="206"/>
      <c r="H27" s="206"/>
      <c r="I27" s="206"/>
      <c r="J27" s="206"/>
      <c r="K27" s="206"/>
      <c r="L27" s="206"/>
      <c r="M27" s="206"/>
      <c r="N27" s="206"/>
    </row>
    <row r="28" spans="2:14" x14ac:dyDescent="0.25">
      <c r="D28" s="206"/>
      <c r="E28" s="206"/>
      <c r="G28" s="206"/>
      <c r="H28" s="206"/>
      <c r="I28" s="206"/>
      <c r="J28" s="206"/>
      <c r="K28" s="206"/>
      <c r="L28" s="206"/>
      <c r="M28" s="206"/>
      <c r="N28" s="206"/>
    </row>
    <row r="29" spans="2:14" x14ac:dyDescent="0.25">
      <c r="D29" s="206"/>
      <c r="E29" s="206"/>
      <c r="G29" s="206"/>
      <c r="H29" s="206"/>
      <c r="I29" s="206"/>
      <c r="J29" s="206"/>
      <c r="K29" s="206"/>
      <c r="L29" s="206"/>
      <c r="M29" s="206"/>
      <c r="N29" s="206"/>
    </row>
    <row r="30" spans="2:14" x14ac:dyDescent="0.25">
      <c r="D30" s="206"/>
      <c r="E30" s="206"/>
      <c r="G30" s="206"/>
      <c r="H30" s="206"/>
      <c r="I30" s="206"/>
      <c r="J30" s="206"/>
      <c r="K30" s="206"/>
      <c r="L30" s="206"/>
      <c r="M30" s="206"/>
      <c r="N30" s="206"/>
    </row>
    <row r="31" spans="2:14" x14ac:dyDescent="0.25">
      <c r="D31" s="206"/>
    </row>
    <row r="32" spans="2:14" x14ac:dyDescent="0.25">
      <c r="D32" s="206"/>
    </row>
    <row r="33" spans="4:4" x14ac:dyDescent="0.25">
      <c r="D33" s="206"/>
    </row>
  </sheetData>
  <mergeCells count="6">
    <mergeCell ref="B13:J14"/>
    <mergeCell ref="B19:J20"/>
    <mergeCell ref="B18:J18"/>
    <mergeCell ref="B12:J12"/>
    <mergeCell ref="B8:J8"/>
    <mergeCell ref="B9:J9"/>
  </mergeCells>
  <hyperlinks>
    <hyperlink ref="E1" location="Introduction!A1" display="Back to introduction"/>
  </hyperlink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Lists!$B$120:$B$124</xm:f>
          </x14:formula1>
          <xm:sqref>F10 F11 F15:F17 F21:F23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22"/>
  <sheetViews>
    <sheetView zoomScale="80" zoomScaleNormal="80" workbookViewId="0">
      <pane ySplit="7" topLeftCell="A8" activePane="bottomLeft" state="frozen"/>
      <selection activeCell="D51" sqref="D51"/>
      <selection pane="bottomLeft" activeCell="E1" sqref="E1"/>
    </sheetView>
  </sheetViews>
  <sheetFormatPr defaultColWidth="9.109375" defaultRowHeight="13.2" x14ac:dyDescent="0.25"/>
  <cols>
    <col min="1" max="1" width="1.6640625" style="203" customWidth="1"/>
    <col min="2" max="2" width="16.44140625" style="204" customWidth="1"/>
    <col min="3" max="3" width="43.33203125" style="204" customWidth="1"/>
    <col min="4" max="4" width="79.33203125" style="205" bestFit="1" customWidth="1"/>
    <col min="5" max="5" width="40.33203125" style="203" customWidth="1"/>
    <col min="6" max="6" width="13.5546875" style="205" customWidth="1"/>
    <col min="7" max="8" width="40.33203125" style="203" customWidth="1"/>
    <col min="9" max="9" width="31.44140625" style="203" customWidth="1"/>
    <col min="10" max="10" width="13.33203125" style="203" customWidth="1"/>
    <col min="11" max="16384" width="9.109375" style="203"/>
  </cols>
  <sheetData>
    <row r="1" spans="2:18" s="200" customFormat="1" ht="17.399999999999999" x14ac:dyDescent="0.25">
      <c r="B1" s="197" t="s">
        <v>682</v>
      </c>
      <c r="C1" s="198"/>
      <c r="D1" s="199"/>
      <c r="E1" s="443" t="s">
        <v>1098</v>
      </c>
      <c r="F1" s="199"/>
    </row>
    <row r="2" spans="2:18" s="200" customFormat="1" x14ac:dyDescent="0.25">
      <c r="B2" s="198"/>
      <c r="C2" s="198"/>
      <c r="D2" s="199"/>
      <c r="F2" s="199"/>
      <c r="J2" s="199"/>
    </row>
    <row r="3" spans="2:18" s="200" customFormat="1" x14ac:dyDescent="0.25">
      <c r="B3" s="198" t="s">
        <v>797</v>
      </c>
      <c r="C3" s="198"/>
      <c r="D3" s="199"/>
      <c r="F3" s="199"/>
    </row>
    <row r="4" spans="2:18" s="201" customFormat="1" x14ac:dyDescent="0.25">
      <c r="B4" s="198" t="s">
        <v>798</v>
      </c>
      <c r="C4" s="202"/>
      <c r="D4" s="202"/>
      <c r="E4" s="202"/>
      <c r="F4" s="202"/>
      <c r="G4" s="202"/>
      <c r="H4" s="202"/>
      <c r="I4" s="202"/>
      <c r="J4" s="202"/>
      <c r="K4" s="202"/>
      <c r="L4" s="202"/>
      <c r="M4" s="202"/>
      <c r="N4" s="202"/>
      <c r="O4" s="202"/>
      <c r="P4" s="202"/>
      <c r="Q4" s="202"/>
      <c r="R4" s="202"/>
    </row>
    <row r="5" spans="2:18" s="200" customFormat="1" x14ac:dyDescent="0.25">
      <c r="B5" s="198" t="s">
        <v>639</v>
      </c>
      <c r="C5" s="198"/>
      <c r="D5" s="199"/>
      <c r="F5" s="199"/>
      <c r="J5" s="199"/>
      <c r="K5" s="199"/>
    </row>
    <row r="6" spans="2:18" s="200" customFormat="1" x14ac:dyDescent="0.25">
      <c r="B6" s="198"/>
      <c r="C6" s="198"/>
      <c r="D6" s="199"/>
      <c r="F6" s="199"/>
      <c r="J6" s="199"/>
      <c r="K6" s="199"/>
    </row>
    <row r="7" spans="2:18" ht="26.4" x14ac:dyDescent="0.25">
      <c r="B7" s="279" t="s">
        <v>28</v>
      </c>
      <c r="C7" s="279" t="s">
        <v>635</v>
      </c>
      <c r="D7" s="279" t="s">
        <v>636</v>
      </c>
      <c r="E7" s="279" t="s">
        <v>3</v>
      </c>
      <c r="F7" s="279" t="s">
        <v>627</v>
      </c>
      <c r="G7" s="279" t="s">
        <v>713</v>
      </c>
      <c r="H7" s="279" t="s">
        <v>53</v>
      </c>
      <c r="I7" s="279" t="s">
        <v>638</v>
      </c>
      <c r="J7" s="279" t="s">
        <v>10</v>
      </c>
    </row>
    <row r="8" spans="2:18" ht="30.75" customHeight="1" x14ac:dyDescent="0.25">
      <c r="B8" s="606" t="s">
        <v>683</v>
      </c>
      <c r="C8" s="607"/>
      <c r="D8" s="607"/>
      <c r="E8" s="607"/>
      <c r="F8" s="607"/>
      <c r="G8" s="607"/>
      <c r="H8" s="607"/>
      <c r="I8" s="607"/>
      <c r="J8" s="607"/>
    </row>
    <row r="9" spans="2:18" s="13" customFormat="1" ht="115.2" customHeight="1" x14ac:dyDescent="0.3">
      <c r="B9" s="609" t="s">
        <v>734</v>
      </c>
      <c r="C9" s="610"/>
      <c r="D9" s="610"/>
      <c r="E9" s="610"/>
      <c r="F9" s="612"/>
      <c r="G9" s="612"/>
      <c r="H9" s="612"/>
      <c r="I9" s="612"/>
      <c r="J9" s="613"/>
      <c r="K9" s="287"/>
      <c r="L9" s="287"/>
      <c r="M9" s="287"/>
      <c r="N9" s="287"/>
    </row>
    <row r="10" spans="2:18" s="13" customFormat="1" ht="34.5" customHeight="1" x14ac:dyDescent="0.3">
      <c r="B10" s="438" t="s">
        <v>684</v>
      </c>
      <c r="C10" s="438" t="s">
        <v>685</v>
      </c>
      <c r="D10" s="427" t="s">
        <v>686</v>
      </c>
      <c r="E10" s="427"/>
      <c r="F10" s="427" t="s">
        <v>645</v>
      </c>
      <c r="G10" s="427"/>
      <c r="H10" s="427"/>
      <c r="I10" s="427"/>
      <c r="J10" s="8" t="s">
        <v>55</v>
      </c>
      <c r="K10" s="287"/>
      <c r="L10" s="287"/>
      <c r="M10" s="287"/>
      <c r="N10" s="287"/>
    </row>
    <row r="11" spans="2:18" s="13" customFormat="1" ht="271.2" customHeight="1" x14ac:dyDescent="0.3">
      <c r="B11" s="438" t="s">
        <v>687</v>
      </c>
      <c r="C11" s="438" t="s">
        <v>688</v>
      </c>
      <c r="D11" s="427" t="s">
        <v>689</v>
      </c>
      <c r="E11" s="427" t="s">
        <v>736</v>
      </c>
      <c r="F11" s="427" t="s">
        <v>645</v>
      </c>
      <c r="G11" s="427"/>
      <c r="H11" s="427"/>
      <c r="I11" s="427"/>
      <c r="J11" s="8" t="s">
        <v>55</v>
      </c>
      <c r="K11" s="287"/>
      <c r="L11" s="287"/>
      <c r="M11" s="287"/>
      <c r="N11" s="287"/>
    </row>
    <row r="12" spans="2:18" ht="159" customHeight="1" x14ac:dyDescent="0.25">
      <c r="B12" s="438" t="s">
        <v>729</v>
      </c>
      <c r="C12" s="438" t="s">
        <v>667</v>
      </c>
      <c r="D12" s="427" t="s">
        <v>668</v>
      </c>
      <c r="E12" s="427" t="s">
        <v>735</v>
      </c>
      <c r="F12" s="427" t="s">
        <v>645</v>
      </c>
      <c r="G12" s="427"/>
      <c r="H12" s="427"/>
      <c r="I12" s="427"/>
      <c r="J12" s="8" t="s">
        <v>55</v>
      </c>
      <c r="K12" s="206"/>
      <c r="L12" s="206"/>
      <c r="M12" s="206"/>
      <c r="N12" s="206"/>
    </row>
    <row r="13" spans="2:18" x14ac:dyDescent="0.25">
      <c r="E13" s="206"/>
      <c r="G13" s="206"/>
      <c r="H13" s="206"/>
      <c r="I13" s="206"/>
      <c r="J13" s="206"/>
      <c r="K13" s="206"/>
      <c r="L13" s="206"/>
      <c r="M13" s="206"/>
      <c r="N13" s="206"/>
    </row>
    <row r="14" spans="2:18" x14ac:dyDescent="0.25">
      <c r="E14" s="206"/>
      <c r="G14" s="206"/>
      <c r="H14" s="206"/>
      <c r="I14" s="206"/>
      <c r="J14" s="206"/>
      <c r="K14" s="206"/>
      <c r="L14" s="206"/>
      <c r="M14" s="206"/>
      <c r="N14" s="206"/>
    </row>
    <row r="15" spans="2:18" x14ac:dyDescent="0.25">
      <c r="E15" s="206"/>
      <c r="G15" s="206"/>
      <c r="H15" s="206"/>
      <c r="I15" s="206"/>
      <c r="J15" s="206"/>
      <c r="K15" s="206"/>
      <c r="L15" s="206"/>
      <c r="M15" s="206"/>
      <c r="N15" s="206"/>
    </row>
    <row r="16" spans="2:18" x14ac:dyDescent="0.25">
      <c r="E16" s="206"/>
      <c r="G16" s="206"/>
      <c r="H16" s="206"/>
      <c r="I16" s="206"/>
      <c r="J16" s="206"/>
      <c r="K16" s="206"/>
      <c r="L16" s="206"/>
      <c r="M16" s="206"/>
      <c r="N16" s="206"/>
    </row>
    <row r="17" spans="4:14" x14ac:dyDescent="0.25">
      <c r="D17" s="206"/>
      <c r="E17" s="206"/>
      <c r="G17" s="206"/>
      <c r="H17" s="206"/>
      <c r="I17" s="206"/>
      <c r="J17" s="206"/>
      <c r="K17" s="206"/>
      <c r="L17" s="206"/>
      <c r="M17" s="206"/>
      <c r="N17" s="206"/>
    </row>
    <row r="18" spans="4:14" x14ac:dyDescent="0.25">
      <c r="D18" s="206"/>
      <c r="E18" s="206"/>
      <c r="G18" s="206"/>
      <c r="H18" s="206"/>
      <c r="I18" s="206"/>
      <c r="J18" s="206"/>
      <c r="K18" s="206"/>
      <c r="L18" s="206"/>
      <c r="M18" s="206"/>
      <c r="N18" s="206"/>
    </row>
    <row r="19" spans="4:14" x14ac:dyDescent="0.25">
      <c r="D19" s="206"/>
      <c r="E19" s="206"/>
      <c r="G19" s="206"/>
      <c r="H19" s="206"/>
      <c r="I19" s="206"/>
      <c r="J19" s="206"/>
      <c r="K19" s="206"/>
      <c r="L19" s="206"/>
      <c r="M19" s="206"/>
      <c r="N19" s="206"/>
    </row>
    <row r="20" spans="4:14" x14ac:dyDescent="0.25">
      <c r="D20" s="206"/>
    </row>
    <row r="21" spans="4:14" x14ac:dyDescent="0.25">
      <c r="D21" s="206"/>
    </row>
    <row r="22" spans="4:14" x14ac:dyDescent="0.25">
      <c r="D22" s="206"/>
    </row>
  </sheetData>
  <mergeCells count="2">
    <mergeCell ref="B9:J9"/>
    <mergeCell ref="B8:J8"/>
  </mergeCells>
  <hyperlinks>
    <hyperlink ref="E1" location="Introduction!A1" display="Back to introduction"/>
  </hyperlink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Lists!$B$120:$B$124</xm:f>
          </x14:formula1>
          <xm:sqref>F10:F12</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R41"/>
  <sheetViews>
    <sheetView zoomScale="80" zoomScaleNormal="80" workbookViewId="0">
      <pane ySplit="7" topLeftCell="A8" activePane="bottomLeft" state="frozen"/>
      <selection activeCell="D51" sqref="D51"/>
      <selection pane="bottomLeft" activeCell="E1" sqref="E1"/>
    </sheetView>
  </sheetViews>
  <sheetFormatPr defaultColWidth="9.109375" defaultRowHeight="13.2" x14ac:dyDescent="0.25"/>
  <cols>
    <col min="1" max="1" width="1.6640625" style="203" customWidth="1"/>
    <col min="2" max="2" width="16.44140625" style="204" customWidth="1"/>
    <col min="3" max="3" width="43.33203125" style="204" customWidth="1"/>
    <col min="4" max="4" width="79.33203125" style="205" bestFit="1" customWidth="1"/>
    <col min="5" max="5" width="40.33203125" style="203" customWidth="1"/>
    <col min="6" max="6" width="13.5546875" style="205" customWidth="1"/>
    <col min="7" max="8" width="40.33203125" style="203" customWidth="1"/>
    <col min="9" max="9" width="31.44140625" style="203" customWidth="1"/>
    <col min="10" max="10" width="13.33203125" style="203" customWidth="1"/>
    <col min="11" max="16384" width="9.109375" style="203"/>
  </cols>
  <sheetData>
    <row r="1" spans="2:18" s="200" customFormat="1" ht="17.399999999999999" x14ac:dyDescent="0.25">
      <c r="B1" s="197" t="s">
        <v>690</v>
      </c>
      <c r="C1" s="198"/>
      <c r="D1" s="199"/>
      <c r="E1" s="443" t="s">
        <v>1098</v>
      </c>
      <c r="F1" s="199"/>
    </row>
    <row r="2" spans="2:18" s="200" customFormat="1" x14ac:dyDescent="0.25">
      <c r="B2" s="198"/>
      <c r="C2" s="198"/>
      <c r="D2" s="199"/>
      <c r="F2" s="199"/>
      <c r="J2" s="199"/>
    </row>
    <row r="3" spans="2:18" s="200" customFormat="1" x14ac:dyDescent="0.25">
      <c r="B3" s="198" t="s">
        <v>797</v>
      </c>
      <c r="C3" s="198"/>
      <c r="D3" s="199"/>
      <c r="F3" s="199"/>
    </row>
    <row r="4" spans="2:18" s="201" customFormat="1" x14ac:dyDescent="0.25">
      <c r="B4" s="198" t="s">
        <v>798</v>
      </c>
      <c r="C4" s="202"/>
      <c r="D4" s="202"/>
      <c r="E4" s="202"/>
      <c r="F4" s="202"/>
      <c r="G4" s="202"/>
      <c r="H4" s="202"/>
      <c r="I4" s="202"/>
      <c r="J4" s="202"/>
      <c r="K4" s="202"/>
      <c r="L4" s="202"/>
      <c r="M4" s="202"/>
      <c r="N4" s="202"/>
      <c r="O4" s="202"/>
      <c r="P4" s="202"/>
      <c r="Q4" s="202"/>
      <c r="R4" s="202"/>
    </row>
    <row r="5" spans="2:18" s="200" customFormat="1" x14ac:dyDescent="0.25">
      <c r="B5" s="198" t="s">
        <v>639</v>
      </c>
      <c r="C5" s="198"/>
      <c r="D5" s="199"/>
      <c r="F5" s="199"/>
      <c r="J5" s="199"/>
      <c r="K5" s="199"/>
    </row>
    <row r="6" spans="2:18" s="200" customFormat="1" x14ac:dyDescent="0.25">
      <c r="B6" s="198"/>
      <c r="C6" s="198"/>
      <c r="D6" s="199"/>
      <c r="F6" s="199"/>
      <c r="J6" s="199"/>
      <c r="K6" s="199"/>
    </row>
    <row r="7" spans="2:18" ht="26.4" x14ac:dyDescent="0.25">
      <c r="B7" s="279" t="s">
        <v>28</v>
      </c>
      <c r="C7" s="279" t="s">
        <v>635</v>
      </c>
      <c r="D7" s="279" t="s">
        <v>636</v>
      </c>
      <c r="E7" s="279" t="s">
        <v>3</v>
      </c>
      <c r="F7" s="279" t="s">
        <v>627</v>
      </c>
      <c r="G7" s="279" t="s">
        <v>713</v>
      </c>
      <c r="H7" s="279" t="s">
        <v>53</v>
      </c>
      <c r="I7" s="279" t="s">
        <v>638</v>
      </c>
      <c r="J7" s="279" t="s">
        <v>10</v>
      </c>
    </row>
    <row r="8" spans="2:18" ht="30.75" customHeight="1" x14ac:dyDescent="0.25">
      <c r="B8" s="614" t="s">
        <v>691</v>
      </c>
      <c r="C8" s="614"/>
      <c r="D8" s="614"/>
      <c r="E8" s="614"/>
      <c r="F8" s="614"/>
      <c r="G8" s="614"/>
      <c r="H8" s="614"/>
      <c r="I8" s="614"/>
      <c r="J8" s="614"/>
    </row>
    <row r="9" spans="2:18" s="13" customFormat="1" ht="68.400000000000006" customHeight="1" x14ac:dyDescent="0.3">
      <c r="B9" s="609" t="s">
        <v>717</v>
      </c>
      <c r="C9" s="610"/>
      <c r="D9" s="610"/>
      <c r="E9" s="610"/>
      <c r="F9" s="612"/>
      <c r="G9" s="612"/>
      <c r="H9" s="612"/>
      <c r="I9" s="612"/>
      <c r="J9" s="613"/>
      <c r="K9" s="287"/>
      <c r="L9" s="287"/>
      <c r="M9" s="287"/>
      <c r="N9" s="287"/>
    </row>
    <row r="10" spans="2:18" s="13" customFormat="1" ht="99.75" customHeight="1" x14ac:dyDescent="0.3">
      <c r="B10" s="438" t="s">
        <v>692</v>
      </c>
      <c r="C10" s="438" t="s">
        <v>693</v>
      </c>
      <c r="D10" s="427" t="s">
        <v>816</v>
      </c>
      <c r="E10" s="427" t="s">
        <v>694</v>
      </c>
      <c r="F10" s="427" t="s">
        <v>645</v>
      </c>
      <c r="G10" s="427"/>
      <c r="H10" s="427"/>
      <c r="I10" s="427"/>
      <c r="J10" s="8" t="s">
        <v>55</v>
      </c>
      <c r="K10" s="287"/>
      <c r="L10" s="287"/>
      <c r="M10" s="287"/>
      <c r="N10" s="287"/>
    </row>
    <row r="11" spans="2:18" s="13" customFormat="1" ht="408.75" customHeight="1" x14ac:dyDescent="0.3">
      <c r="B11" s="438" t="s">
        <v>695</v>
      </c>
      <c r="C11" s="438" t="s">
        <v>696</v>
      </c>
      <c r="D11" s="427" t="s">
        <v>697</v>
      </c>
      <c r="E11" s="427" t="s">
        <v>737</v>
      </c>
      <c r="F11" s="427" t="s">
        <v>645</v>
      </c>
      <c r="G11" s="427"/>
      <c r="H11" s="427"/>
      <c r="I11" s="427"/>
      <c r="J11" s="8" t="s">
        <v>55</v>
      </c>
      <c r="K11" s="287"/>
      <c r="L11" s="287"/>
      <c r="M11" s="287"/>
      <c r="N11" s="287"/>
    </row>
    <row r="12" spans="2:18" ht="409.6" x14ac:dyDescent="0.25">
      <c r="B12" s="438" t="s">
        <v>730</v>
      </c>
      <c r="C12" s="438" t="s">
        <v>667</v>
      </c>
      <c r="D12" s="427" t="s">
        <v>668</v>
      </c>
      <c r="E12" s="427" t="s">
        <v>738</v>
      </c>
      <c r="F12" s="427" t="s">
        <v>645</v>
      </c>
      <c r="G12" s="427"/>
      <c r="H12" s="427"/>
      <c r="I12" s="427"/>
      <c r="J12" s="8" t="s">
        <v>55</v>
      </c>
      <c r="K12" s="206"/>
      <c r="L12" s="206"/>
      <c r="M12" s="206"/>
      <c r="N12" s="206"/>
    </row>
    <row r="13" spans="2:18" ht="30.75" customHeight="1" x14ac:dyDescent="0.25">
      <c r="B13" s="614" t="s">
        <v>698</v>
      </c>
      <c r="C13" s="614"/>
      <c r="D13" s="614"/>
      <c r="E13" s="614"/>
      <c r="F13" s="614"/>
      <c r="G13" s="614"/>
      <c r="H13" s="614"/>
      <c r="I13" s="614"/>
      <c r="J13" s="614"/>
      <c r="K13" s="206"/>
      <c r="L13" s="206"/>
      <c r="M13" s="206"/>
      <c r="N13" s="206"/>
    </row>
    <row r="14" spans="2:18" ht="13.2" customHeight="1" x14ac:dyDescent="0.25">
      <c r="B14" s="598" t="s">
        <v>718</v>
      </c>
      <c r="C14" s="599"/>
      <c r="D14" s="599"/>
      <c r="E14" s="599"/>
      <c r="F14" s="600"/>
      <c r="G14" s="600"/>
      <c r="H14" s="600"/>
      <c r="I14" s="600"/>
      <c r="J14" s="601"/>
      <c r="K14" s="206"/>
      <c r="L14" s="206"/>
      <c r="M14" s="206"/>
      <c r="N14" s="206"/>
    </row>
    <row r="15" spans="2:18" ht="25.2" customHeight="1" x14ac:dyDescent="0.25">
      <c r="B15" s="602"/>
      <c r="C15" s="603"/>
      <c r="D15" s="603"/>
      <c r="E15" s="603"/>
      <c r="F15" s="604"/>
      <c r="G15" s="604"/>
      <c r="H15" s="604"/>
      <c r="I15" s="604"/>
      <c r="J15" s="605"/>
      <c r="K15" s="206"/>
      <c r="L15" s="206"/>
      <c r="M15" s="206"/>
      <c r="N15" s="206"/>
    </row>
    <row r="16" spans="2:18" ht="96.75" customHeight="1" x14ac:dyDescent="0.25">
      <c r="B16" s="438" t="s">
        <v>699</v>
      </c>
      <c r="C16" s="438" t="s">
        <v>693</v>
      </c>
      <c r="D16" s="427" t="s">
        <v>817</v>
      </c>
      <c r="E16" s="427" t="s">
        <v>694</v>
      </c>
      <c r="F16" s="427" t="s">
        <v>645</v>
      </c>
      <c r="G16" s="427"/>
      <c r="H16" s="427"/>
      <c r="I16" s="427"/>
      <c r="J16" s="8" t="s">
        <v>55</v>
      </c>
      <c r="K16" s="206"/>
      <c r="L16" s="206"/>
      <c r="M16" s="206"/>
      <c r="N16" s="206"/>
    </row>
    <row r="17" spans="2:14" ht="198" x14ac:dyDescent="0.25">
      <c r="B17" s="438" t="s">
        <v>700</v>
      </c>
      <c r="C17" s="438" t="s">
        <v>701</v>
      </c>
      <c r="D17" s="427" t="s">
        <v>806</v>
      </c>
      <c r="E17" s="427" t="s">
        <v>801</v>
      </c>
      <c r="F17" s="427" t="s">
        <v>645</v>
      </c>
      <c r="G17" s="427"/>
      <c r="H17" s="427"/>
      <c r="I17" s="427"/>
      <c r="J17" s="8"/>
      <c r="K17" s="206"/>
      <c r="L17" s="206"/>
      <c r="M17" s="206"/>
      <c r="N17" s="206"/>
    </row>
    <row r="18" spans="2:14" ht="119.25" customHeight="1" x14ac:dyDescent="0.25">
      <c r="B18" s="438" t="s">
        <v>702</v>
      </c>
      <c r="C18" s="438" t="s">
        <v>703</v>
      </c>
      <c r="D18" s="427" t="s">
        <v>704</v>
      </c>
      <c r="E18" s="427" t="s">
        <v>802</v>
      </c>
      <c r="F18" s="427" t="s">
        <v>645</v>
      </c>
      <c r="G18" s="427"/>
      <c r="H18" s="427"/>
      <c r="I18" s="427"/>
      <c r="J18" s="8" t="s">
        <v>55</v>
      </c>
      <c r="K18" s="206"/>
      <c r="L18" s="206"/>
      <c r="M18" s="206"/>
      <c r="N18" s="206"/>
    </row>
    <row r="19" spans="2:14" ht="409.6" x14ac:dyDescent="0.25">
      <c r="B19" s="438" t="s">
        <v>731</v>
      </c>
      <c r="C19" s="438" t="s">
        <v>667</v>
      </c>
      <c r="D19" s="427" t="s">
        <v>668</v>
      </c>
      <c r="E19" s="427" t="s">
        <v>739</v>
      </c>
      <c r="F19" s="427" t="s">
        <v>645</v>
      </c>
      <c r="G19" s="427"/>
      <c r="H19" s="427"/>
      <c r="I19" s="427"/>
      <c r="J19" s="8" t="s">
        <v>55</v>
      </c>
      <c r="K19" s="206"/>
      <c r="L19" s="206"/>
      <c r="M19" s="206"/>
      <c r="N19" s="206"/>
    </row>
    <row r="20" spans="2:14" ht="30.75" customHeight="1" x14ac:dyDescent="0.25">
      <c r="B20" s="614" t="s">
        <v>705</v>
      </c>
      <c r="C20" s="614"/>
      <c r="D20" s="614"/>
      <c r="E20" s="614"/>
      <c r="F20" s="614"/>
      <c r="G20" s="614"/>
      <c r="H20" s="614"/>
      <c r="I20" s="614"/>
      <c r="J20" s="614"/>
      <c r="K20" s="206"/>
      <c r="L20" s="206"/>
      <c r="M20" s="206"/>
      <c r="N20" s="206"/>
    </row>
    <row r="21" spans="2:14" x14ac:dyDescent="0.25">
      <c r="B21" s="598" t="s">
        <v>719</v>
      </c>
      <c r="C21" s="599"/>
      <c r="D21" s="599"/>
      <c r="E21" s="599"/>
      <c r="F21" s="600"/>
      <c r="G21" s="600"/>
      <c r="H21" s="600"/>
      <c r="I21" s="600"/>
      <c r="J21" s="601"/>
      <c r="K21" s="206"/>
      <c r="L21" s="206"/>
      <c r="M21" s="206"/>
      <c r="N21" s="206"/>
    </row>
    <row r="22" spans="2:14" ht="30.6" customHeight="1" x14ac:dyDescent="0.25">
      <c r="B22" s="602"/>
      <c r="C22" s="603"/>
      <c r="D22" s="603"/>
      <c r="E22" s="603"/>
      <c r="F22" s="604"/>
      <c r="G22" s="604"/>
      <c r="H22" s="604"/>
      <c r="I22" s="604"/>
      <c r="J22" s="605"/>
      <c r="K22" s="206"/>
      <c r="L22" s="206"/>
      <c r="M22" s="206"/>
      <c r="N22" s="206"/>
    </row>
    <row r="23" spans="2:14" ht="94.5" customHeight="1" x14ac:dyDescent="0.25">
      <c r="B23" s="438" t="s">
        <v>706</v>
      </c>
      <c r="C23" s="438" t="s">
        <v>693</v>
      </c>
      <c r="D23" s="427" t="s">
        <v>817</v>
      </c>
      <c r="E23" s="427" t="s">
        <v>694</v>
      </c>
      <c r="F23" s="427" t="s">
        <v>645</v>
      </c>
      <c r="G23" s="427"/>
      <c r="H23" s="427"/>
      <c r="I23" s="427"/>
      <c r="J23" s="8" t="s">
        <v>55</v>
      </c>
      <c r="K23" s="206"/>
      <c r="L23" s="206"/>
      <c r="M23" s="206"/>
      <c r="N23" s="206"/>
    </row>
    <row r="24" spans="2:14" ht="77.25" customHeight="1" x14ac:dyDescent="0.25">
      <c r="B24" s="438" t="s">
        <v>707</v>
      </c>
      <c r="C24" s="438" t="s">
        <v>708</v>
      </c>
      <c r="D24" s="427" t="s">
        <v>697</v>
      </c>
      <c r="E24" s="427" t="s">
        <v>741</v>
      </c>
      <c r="F24" s="427" t="s">
        <v>645</v>
      </c>
      <c r="G24" s="427"/>
      <c r="H24" s="427"/>
      <c r="I24" s="427"/>
      <c r="J24" s="8" t="s">
        <v>55</v>
      </c>
      <c r="K24" s="206"/>
      <c r="L24" s="206"/>
      <c r="M24" s="206"/>
      <c r="N24" s="206"/>
    </row>
    <row r="25" spans="2:14" ht="409.6" x14ac:dyDescent="0.25">
      <c r="B25" s="438" t="s">
        <v>732</v>
      </c>
      <c r="C25" s="438" t="s">
        <v>667</v>
      </c>
      <c r="D25" s="427" t="s">
        <v>668</v>
      </c>
      <c r="E25" s="427" t="s">
        <v>740</v>
      </c>
      <c r="F25" s="427" t="s">
        <v>645</v>
      </c>
      <c r="G25" s="427"/>
      <c r="H25" s="427"/>
      <c r="I25" s="427"/>
      <c r="J25" s="8" t="s">
        <v>55</v>
      </c>
      <c r="K25" s="206"/>
      <c r="L25" s="206"/>
      <c r="M25" s="206"/>
      <c r="N25" s="206"/>
    </row>
    <row r="26" spans="2:14" ht="30.75" customHeight="1" x14ac:dyDescent="0.25">
      <c r="B26" s="614" t="s">
        <v>709</v>
      </c>
      <c r="C26" s="614"/>
      <c r="D26" s="614"/>
      <c r="E26" s="614"/>
      <c r="F26" s="614"/>
      <c r="G26" s="614"/>
      <c r="H26" s="614"/>
      <c r="I26" s="614"/>
      <c r="J26" s="614"/>
      <c r="K26" s="206"/>
      <c r="L26" s="206"/>
      <c r="M26" s="206"/>
      <c r="N26" s="206"/>
    </row>
    <row r="27" spans="2:14" x14ac:dyDescent="0.25">
      <c r="B27" s="598" t="s">
        <v>720</v>
      </c>
      <c r="C27" s="599"/>
      <c r="D27" s="599"/>
      <c r="E27" s="599"/>
      <c r="F27" s="600"/>
      <c r="G27" s="600"/>
      <c r="H27" s="600"/>
      <c r="I27" s="600"/>
      <c r="J27" s="601"/>
      <c r="K27" s="206"/>
      <c r="L27" s="206"/>
      <c r="M27" s="206"/>
      <c r="N27" s="206"/>
    </row>
    <row r="28" spans="2:14" ht="30.6" customHeight="1" x14ac:dyDescent="0.25">
      <c r="B28" s="602"/>
      <c r="C28" s="603"/>
      <c r="D28" s="603"/>
      <c r="E28" s="603"/>
      <c r="F28" s="604"/>
      <c r="G28" s="604"/>
      <c r="H28" s="604"/>
      <c r="I28" s="604"/>
      <c r="J28" s="605"/>
      <c r="K28" s="206"/>
      <c r="L28" s="206"/>
      <c r="M28" s="206"/>
      <c r="N28" s="206"/>
    </row>
    <row r="29" spans="2:14" ht="100.5" customHeight="1" x14ac:dyDescent="0.25">
      <c r="B29" s="438" t="s">
        <v>710</v>
      </c>
      <c r="C29" s="438" t="s">
        <v>693</v>
      </c>
      <c r="D29" s="427" t="s">
        <v>818</v>
      </c>
      <c r="E29" s="427" t="s">
        <v>694</v>
      </c>
      <c r="F29" s="427" t="s">
        <v>645</v>
      </c>
      <c r="G29" s="427"/>
      <c r="H29" s="427"/>
      <c r="I29" s="427"/>
      <c r="J29" s="8" t="s">
        <v>55</v>
      </c>
      <c r="K29" s="206"/>
      <c r="L29" s="206"/>
      <c r="M29" s="206"/>
      <c r="N29" s="206"/>
    </row>
    <row r="30" spans="2:14" ht="409.6" x14ac:dyDescent="0.25">
      <c r="B30" s="438" t="s">
        <v>711</v>
      </c>
      <c r="C30" s="438" t="s">
        <v>712</v>
      </c>
      <c r="D30" s="427" t="s">
        <v>819</v>
      </c>
      <c r="E30" s="427" t="s">
        <v>742</v>
      </c>
      <c r="F30" s="427" t="s">
        <v>645</v>
      </c>
      <c r="G30" s="427"/>
      <c r="H30" s="427"/>
      <c r="I30" s="427"/>
      <c r="J30" s="8" t="s">
        <v>55</v>
      </c>
      <c r="K30" s="206"/>
      <c r="L30" s="206"/>
      <c r="M30" s="206"/>
      <c r="N30" s="206"/>
    </row>
    <row r="31" spans="2:14" ht="409.6" x14ac:dyDescent="0.25">
      <c r="B31" s="438" t="s">
        <v>733</v>
      </c>
      <c r="C31" s="438" t="s">
        <v>667</v>
      </c>
      <c r="D31" s="427" t="s">
        <v>668</v>
      </c>
      <c r="E31" s="427" t="s">
        <v>820</v>
      </c>
      <c r="F31" s="427" t="s">
        <v>645</v>
      </c>
      <c r="G31" s="427"/>
      <c r="H31" s="427"/>
      <c r="I31" s="427"/>
      <c r="J31" s="8" t="s">
        <v>55</v>
      </c>
      <c r="K31" s="206"/>
      <c r="L31" s="206"/>
      <c r="M31" s="206"/>
      <c r="N31" s="206"/>
    </row>
    <row r="32" spans="2:14" x14ac:dyDescent="0.25">
      <c r="E32" s="206"/>
      <c r="G32" s="206"/>
      <c r="H32" s="206"/>
      <c r="I32" s="206"/>
      <c r="J32" s="206"/>
      <c r="K32" s="206"/>
      <c r="L32" s="206"/>
      <c r="M32" s="206"/>
      <c r="N32" s="206"/>
    </row>
    <row r="33" spans="4:14" x14ac:dyDescent="0.25">
      <c r="E33" s="206"/>
      <c r="G33" s="206"/>
      <c r="H33" s="206"/>
      <c r="I33" s="206"/>
      <c r="J33" s="206"/>
      <c r="K33" s="206"/>
      <c r="L33" s="206"/>
      <c r="M33" s="206"/>
      <c r="N33" s="206"/>
    </row>
    <row r="34" spans="4:14" x14ac:dyDescent="0.25">
      <c r="E34" s="206"/>
      <c r="G34" s="206"/>
      <c r="H34" s="206"/>
      <c r="I34" s="206"/>
      <c r="J34" s="206"/>
      <c r="K34" s="206"/>
      <c r="L34" s="206"/>
      <c r="M34" s="206"/>
      <c r="N34" s="206"/>
    </row>
    <row r="35" spans="4:14" x14ac:dyDescent="0.25">
      <c r="E35" s="206"/>
      <c r="G35" s="206"/>
      <c r="H35" s="206"/>
      <c r="I35" s="206"/>
      <c r="J35" s="206"/>
      <c r="K35" s="206"/>
      <c r="L35" s="206"/>
      <c r="M35" s="206"/>
      <c r="N35" s="206"/>
    </row>
    <row r="36" spans="4:14" x14ac:dyDescent="0.25">
      <c r="D36" s="206"/>
      <c r="E36" s="206"/>
      <c r="G36" s="206"/>
      <c r="H36" s="206"/>
      <c r="I36" s="206"/>
      <c r="J36" s="206"/>
      <c r="K36" s="206"/>
      <c r="L36" s="206"/>
      <c r="M36" s="206"/>
      <c r="N36" s="206"/>
    </row>
    <row r="37" spans="4:14" x14ac:dyDescent="0.25">
      <c r="D37" s="206"/>
      <c r="E37" s="206"/>
      <c r="G37" s="206"/>
      <c r="H37" s="206"/>
      <c r="I37" s="206"/>
      <c r="J37" s="206"/>
      <c r="K37" s="206"/>
      <c r="L37" s="206"/>
      <c r="M37" s="206"/>
      <c r="N37" s="206"/>
    </row>
    <row r="38" spans="4:14" x14ac:dyDescent="0.25">
      <c r="D38" s="206"/>
      <c r="E38" s="206"/>
      <c r="G38" s="206"/>
      <c r="H38" s="206"/>
      <c r="I38" s="206"/>
      <c r="J38" s="206"/>
      <c r="K38" s="206"/>
      <c r="L38" s="206"/>
      <c r="M38" s="206"/>
      <c r="N38" s="206"/>
    </row>
    <row r="39" spans="4:14" x14ac:dyDescent="0.25">
      <c r="D39" s="206"/>
    </row>
    <row r="40" spans="4:14" x14ac:dyDescent="0.25">
      <c r="D40" s="206"/>
    </row>
    <row r="41" spans="4:14" x14ac:dyDescent="0.25">
      <c r="D41" s="206"/>
    </row>
  </sheetData>
  <mergeCells count="8">
    <mergeCell ref="B8:J8"/>
    <mergeCell ref="B9:J9"/>
    <mergeCell ref="B14:J15"/>
    <mergeCell ref="B21:J22"/>
    <mergeCell ref="B27:J28"/>
    <mergeCell ref="B26:J26"/>
    <mergeCell ref="B20:J20"/>
    <mergeCell ref="B13:J13"/>
  </mergeCells>
  <hyperlinks>
    <hyperlink ref="E1" location="Introduction!A1" display="Back to introduction"/>
  </hyperlinks>
  <pageMargins left="0.7" right="0.7" top="0.75" bottom="0.75" header="0.3" footer="0.3"/>
  <pageSetup paperSize="9" orientation="portrait" r:id="rId1"/>
  <drawing r:id="rId2"/>
  <legacyDrawing r:id="rId3"/>
  <oleObjects>
    <mc:AlternateContent xmlns:mc="http://schemas.openxmlformats.org/markup-compatibility/2006">
      <mc:Choice Requires="x14">
        <oleObject progId="Worksheet" dvAspect="DVASPECT_ICON" shapeId="76803" r:id="rId4">
          <objectPr defaultSize="0" r:id="rId5">
            <anchor moveWithCells="1">
              <from>
                <xdr:col>3</xdr:col>
                <xdr:colOff>1661160</xdr:colOff>
                <xdr:row>17</xdr:row>
                <xdr:rowOff>670560</xdr:rowOff>
              </from>
              <to>
                <xdr:col>3</xdr:col>
                <xdr:colOff>2575560</xdr:colOff>
                <xdr:row>17</xdr:row>
                <xdr:rowOff>1356360</xdr:rowOff>
              </to>
            </anchor>
          </objectPr>
        </oleObject>
      </mc:Choice>
      <mc:Fallback>
        <oleObject progId="Worksheet" dvAspect="DVASPECT_ICON" shapeId="76803" r:id="rId4"/>
      </mc:Fallback>
    </mc:AlternateContent>
  </oleObjects>
  <extLst>
    <ext xmlns:x14="http://schemas.microsoft.com/office/spreadsheetml/2009/9/main" uri="{CCE6A557-97BC-4b89-ADB6-D9C93CAAB3DF}">
      <x14:dataValidations xmlns:xm="http://schemas.microsoft.com/office/excel/2006/main" count="1">
        <x14:dataValidation type="list" allowBlank="1" showInputMessage="1" showErrorMessage="1">
          <x14:formula1>
            <xm:f>Lists!$B$120:$B$124</xm:f>
          </x14:formula1>
          <xm:sqref>F10:F12 F16:F19 F23:F25 F29:F31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A1:G85"/>
  <sheetViews>
    <sheetView zoomScale="90" zoomScaleNormal="90" workbookViewId="0">
      <selection activeCell="G1" sqref="G1"/>
    </sheetView>
  </sheetViews>
  <sheetFormatPr defaultColWidth="9.109375" defaultRowHeight="13.2" x14ac:dyDescent="0.25"/>
  <cols>
    <col min="1" max="1" width="4.6640625" style="6" customWidth="1"/>
    <col min="2" max="2" width="20.6640625" style="6" customWidth="1"/>
    <col min="3" max="3" width="12.6640625" style="53" customWidth="1"/>
    <col min="4" max="4" width="8.6640625" style="53" customWidth="1"/>
    <col min="5" max="5" width="75.6640625" style="53" customWidth="1"/>
    <col min="6" max="6" width="8.6640625" style="56" customWidth="1"/>
    <col min="7" max="16384" width="9.109375" style="5"/>
  </cols>
  <sheetData>
    <row r="1" spans="1:7" s="3" customFormat="1" ht="28.5" customHeight="1" x14ac:dyDescent="0.25">
      <c r="A1" s="615" t="s">
        <v>640</v>
      </c>
      <c r="B1" s="615"/>
      <c r="C1" s="615"/>
      <c r="D1" s="615"/>
      <c r="E1" s="615"/>
      <c r="F1" s="615"/>
      <c r="G1" s="443" t="s">
        <v>1098</v>
      </c>
    </row>
    <row r="2" spans="1:7" s="3" customFormat="1" ht="5.0999999999999996" customHeight="1" x14ac:dyDescent="0.25">
      <c r="A2" s="261"/>
      <c r="B2" s="262"/>
      <c r="C2" s="288"/>
      <c r="D2" s="288"/>
      <c r="E2" s="288"/>
      <c r="F2" s="289"/>
    </row>
    <row r="3" spans="1:7" s="3" customFormat="1" x14ac:dyDescent="0.25">
      <c r="A3" s="290" t="s">
        <v>641</v>
      </c>
      <c r="B3" s="290"/>
      <c r="C3" s="291" t="s">
        <v>330</v>
      </c>
      <c r="D3" s="291"/>
      <c r="E3" s="418"/>
      <c r="F3" s="292" t="s">
        <v>331</v>
      </c>
    </row>
    <row r="4" spans="1:7" s="3" customFormat="1" ht="5.0999999999999996" customHeight="1" x14ac:dyDescent="0.25">
      <c r="A4" s="261"/>
      <c r="B4" s="262"/>
      <c r="C4" s="288"/>
      <c r="D4" s="288"/>
      <c r="E4" s="288"/>
      <c r="F4" s="289"/>
    </row>
    <row r="5" spans="1:7" ht="20.25" customHeight="1" x14ac:dyDescent="0.25">
      <c r="A5" s="84" t="s">
        <v>291</v>
      </c>
      <c r="B5" s="84" t="s">
        <v>1</v>
      </c>
      <c r="C5" s="84" t="s">
        <v>332</v>
      </c>
      <c r="D5" s="84" t="s">
        <v>294</v>
      </c>
      <c r="E5" s="84" t="s">
        <v>642</v>
      </c>
      <c r="F5" s="84" t="s">
        <v>10</v>
      </c>
    </row>
    <row r="6" spans="1:7" x14ac:dyDescent="0.25">
      <c r="A6" s="148" t="s">
        <v>189</v>
      </c>
      <c r="B6" s="149"/>
      <c r="C6" s="150"/>
      <c r="D6" s="150"/>
      <c r="E6" s="150"/>
      <c r="F6" s="151"/>
    </row>
    <row r="7" spans="1:7" x14ac:dyDescent="0.25">
      <c r="A7" s="149"/>
      <c r="B7" s="78" t="s">
        <v>333</v>
      </c>
      <c r="C7" s="154">
        <f>'3 - End User Organisation '!D9</f>
        <v>0</v>
      </c>
      <c r="D7" s="142" t="s">
        <v>296</v>
      </c>
      <c r="E7" s="152"/>
      <c r="F7" s="142" t="str">
        <f>'3 - End User Organisation '!F9</f>
        <v>NYA</v>
      </c>
    </row>
    <row r="8" spans="1:7" x14ac:dyDescent="0.25">
      <c r="A8" s="149"/>
      <c r="B8" s="78" t="s">
        <v>190</v>
      </c>
      <c r="C8" s="141"/>
      <c r="D8" s="142" t="s">
        <v>296</v>
      </c>
      <c r="E8" s="143"/>
      <c r="F8" s="142" t="str">
        <f>'3 - End User Organisation '!F10</f>
        <v>NYA</v>
      </c>
    </row>
    <row r="9" spans="1:7" x14ac:dyDescent="0.25">
      <c r="A9" s="149"/>
      <c r="B9" s="78" t="s">
        <v>334</v>
      </c>
      <c r="C9" s="141"/>
      <c r="D9" s="142" t="s">
        <v>296</v>
      </c>
      <c r="E9" s="143"/>
      <c r="F9" s="142" t="str">
        <f>'3 - End User Organisation '!F11</f>
        <v>NYA</v>
      </c>
    </row>
    <row r="10" spans="1:7" x14ac:dyDescent="0.25">
      <c r="A10" s="149"/>
      <c r="B10" s="272" t="s">
        <v>191</v>
      </c>
      <c r="C10" s="141"/>
      <c r="D10" s="142" t="s">
        <v>296</v>
      </c>
      <c r="E10" s="143"/>
      <c r="F10" s="142" t="str">
        <f>'3 - End User Organisation '!F12</f>
        <v>NYA</v>
      </c>
    </row>
    <row r="11" spans="1:7" x14ac:dyDescent="0.25">
      <c r="A11" s="149"/>
      <c r="B11" s="272" t="s">
        <v>192</v>
      </c>
      <c r="C11" s="141"/>
      <c r="D11" s="142" t="s">
        <v>296</v>
      </c>
      <c r="E11" s="143"/>
      <c r="F11" s="142" t="str">
        <f>'3 - End User Organisation '!F13</f>
        <v>NYA</v>
      </c>
    </row>
    <row r="12" spans="1:7" x14ac:dyDescent="0.25">
      <c r="A12" s="149"/>
      <c r="B12" s="272" t="s">
        <v>193</v>
      </c>
      <c r="C12" s="141"/>
      <c r="D12" s="142" t="s">
        <v>296</v>
      </c>
      <c r="E12" s="143"/>
      <c r="F12" s="142" t="str">
        <f>'3 - End User Organisation '!F14</f>
        <v>NYA</v>
      </c>
    </row>
    <row r="13" spans="1:7" x14ac:dyDescent="0.25">
      <c r="A13" s="149"/>
      <c r="B13" s="272" t="s">
        <v>194</v>
      </c>
      <c r="C13" s="141"/>
      <c r="D13" s="142" t="s">
        <v>296</v>
      </c>
      <c r="E13" s="143"/>
      <c r="F13" s="142" t="str">
        <f>'3 - End User Organisation '!F15</f>
        <v>NYA</v>
      </c>
    </row>
    <row r="14" spans="1:7" x14ac:dyDescent="0.25">
      <c r="A14" s="149"/>
      <c r="B14" s="78" t="s">
        <v>99</v>
      </c>
      <c r="C14" s="155">
        <f>'3 - End User Organisation '!D16</f>
        <v>0</v>
      </c>
      <c r="D14" s="142" t="s">
        <v>296</v>
      </c>
      <c r="E14" s="143"/>
      <c r="F14" s="142" t="str">
        <f>'3 - End User Organisation '!F16</f>
        <v>NYA</v>
      </c>
    </row>
    <row r="15" spans="1:7" x14ac:dyDescent="0.25">
      <c r="A15" s="149"/>
      <c r="B15" s="78" t="s">
        <v>138</v>
      </c>
      <c r="C15" s="155">
        <f>'3 - End User Organisation '!D17</f>
        <v>0</v>
      </c>
      <c r="D15" s="142" t="s">
        <v>296</v>
      </c>
      <c r="E15" s="143"/>
      <c r="F15" s="142" t="str">
        <f>'3 - End User Organisation '!F17</f>
        <v>NYA</v>
      </c>
    </row>
    <row r="16" spans="1:7" x14ac:dyDescent="0.25">
      <c r="A16" s="149"/>
      <c r="B16" s="78" t="s">
        <v>297</v>
      </c>
      <c r="C16" s="155" t="str">
        <f>'3 - End User Organisation '!D18</f>
        <v>NYK</v>
      </c>
      <c r="D16" s="142" t="s">
        <v>296</v>
      </c>
      <c r="E16" s="143"/>
      <c r="F16" s="142" t="str">
        <f>'3 - End User Organisation '!F18</f>
        <v>NYA</v>
      </c>
    </row>
    <row r="17" spans="1:6" x14ac:dyDescent="0.25">
      <c r="A17" s="149"/>
      <c r="B17" s="78" t="s">
        <v>298</v>
      </c>
      <c r="C17" s="141"/>
      <c r="D17" s="142" t="s">
        <v>296</v>
      </c>
      <c r="E17" s="143"/>
      <c r="F17" s="142" t="str">
        <f>'3 - End User Organisation '!F19</f>
        <v>NYA</v>
      </c>
    </row>
    <row r="18" spans="1:6" x14ac:dyDescent="0.25">
      <c r="A18" s="149"/>
      <c r="B18" s="78" t="s">
        <v>299</v>
      </c>
      <c r="C18" s="141"/>
      <c r="D18" s="142" t="s">
        <v>296</v>
      </c>
      <c r="E18" s="143"/>
      <c r="F18" s="142" t="str">
        <f>'3 - End User Organisation '!F20</f>
        <v>NYA</v>
      </c>
    </row>
    <row r="19" spans="1:6" x14ac:dyDescent="0.25">
      <c r="A19" s="149"/>
      <c r="B19" s="78" t="s">
        <v>335</v>
      </c>
      <c r="C19" s="144">
        <f>'3 - End User Organisation '!D21</f>
        <v>0</v>
      </c>
      <c r="D19" s="142" t="s">
        <v>296</v>
      </c>
      <c r="E19" s="143"/>
      <c r="F19" s="142" t="str">
        <f>'3 - End User Organisation '!F21</f>
        <v>NYA</v>
      </c>
    </row>
    <row r="20" spans="1:6" x14ac:dyDescent="0.25">
      <c r="A20" s="153" t="s">
        <v>195</v>
      </c>
      <c r="B20" s="149"/>
      <c r="C20" s="150"/>
      <c r="D20" s="150"/>
      <c r="E20" s="150"/>
      <c r="F20" s="151"/>
    </row>
    <row r="21" spans="1:6" x14ac:dyDescent="0.25">
      <c r="A21" s="149"/>
      <c r="B21" s="78" t="s">
        <v>336</v>
      </c>
      <c r="C21" s="141"/>
      <c r="D21" s="142" t="s">
        <v>296</v>
      </c>
      <c r="E21" s="143"/>
      <c r="F21" s="142" t="str">
        <f>'3 - End User Organisation '!F23</f>
        <v>NYA</v>
      </c>
    </row>
    <row r="22" spans="1:6" x14ac:dyDescent="0.25">
      <c r="A22" s="149"/>
      <c r="B22" s="78" t="s">
        <v>337</v>
      </c>
      <c r="C22" s="141"/>
      <c r="D22" s="142" t="s">
        <v>296</v>
      </c>
      <c r="E22" s="143"/>
      <c r="F22" s="142" t="str">
        <f>'3 - End User Organisation '!F24</f>
        <v>NYA</v>
      </c>
    </row>
    <row r="23" spans="1:6" x14ac:dyDescent="0.25">
      <c r="A23" s="153" t="s">
        <v>302</v>
      </c>
      <c r="B23" s="149"/>
      <c r="C23" s="150"/>
      <c r="D23" s="150"/>
      <c r="E23" s="150"/>
      <c r="F23" s="151"/>
    </row>
    <row r="24" spans="1:6" x14ac:dyDescent="0.25">
      <c r="A24" s="149"/>
      <c r="B24" s="78" t="s">
        <v>197</v>
      </c>
      <c r="C24" s="155">
        <f>'3 - End User Organisation '!D26</f>
        <v>0</v>
      </c>
      <c r="D24" s="142" t="s">
        <v>296</v>
      </c>
      <c r="E24" s="143"/>
      <c r="F24" s="142" t="str">
        <f>'3 - End User Organisation '!F26</f>
        <v>NYA</v>
      </c>
    </row>
    <row r="25" spans="1:6" x14ac:dyDescent="0.25">
      <c r="A25" s="149"/>
      <c r="B25" s="78" t="s">
        <v>338</v>
      </c>
      <c r="C25" s="144">
        <f>'3 - End User Organisation '!D27</f>
        <v>0</v>
      </c>
      <c r="D25" s="142" t="s">
        <v>296</v>
      </c>
      <c r="E25" s="143"/>
      <c r="F25" s="142" t="str">
        <f>'3 - End User Organisation '!F27</f>
        <v>NYA</v>
      </c>
    </row>
    <row r="26" spans="1:6" x14ac:dyDescent="0.25">
      <c r="A26" s="149"/>
      <c r="B26" s="78" t="s">
        <v>199</v>
      </c>
      <c r="C26" s="144">
        <f>'3 - End User Organisation '!D28</f>
        <v>0</v>
      </c>
      <c r="D26" s="142" t="s">
        <v>296</v>
      </c>
      <c r="E26" s="143"/>
      <c r="F26" s="142" t="str">
        <f>'3 - End User Organisation '!F28</f>
        <v>NYA</v>
      </c>
    </row>
    <row r="27" spans="1:6" x14ac:dyDescent="0.25">
      <c r="A27" s="153" t="s">
        <v>305</v>
      </c>
      <c r="B27" s="149"/>
      <c r="C27" s="150"/>
      <c r="D27" s="150"/>
      <c r="E27" s="150"/>
      <c r="F27" s="151"/>
    </row>
    <row r="28" spans="1:6" x14ac:dyDescent="0.25">
      <c r="A28" s="149"/>
      <c r="B28" s="78" t="s">
        <v>197</v>
      </c>
      <c r="C28" s="154">
        <f>'3 - End User Organisation '!D30</f>
        <v>0</v>
      </c>
      <c r="D28" s="142" t="s">
        <v>296</v>
      </c>
      <c r="E28" s="143"/>
      <c r="F28" s="142" t="str">
        <f>'3 - End User Organisation '!F30</f>
        <v>NYA</v>
      </c>
    </row>
    <row r="29" spans="1:6" x14ac:dyDescent="0.25">
      <c r="A29" s="149"/>
      <c r="B29" s="78" t="s">
        <v>338</v>
      </c>
      <c r="C29" s="144">
        <f>'3 - End User Organisation '!D31</f>
        <v>0</v>
      </c>
      <c r="D29" s="142" t="s">
        <v>296</v>
      </c>
      <c r="E29" s="143"/>
      <c r="F29" s="142" t="str">
        <f>'3 - End User Organisation '!F27</f>
        <v>NYA</v>
      </c>
    </row>
    <row r="30" spans="1:6" x14ac:dyDescent="0.25">
      <c r="A30" s="149"/>
      <c r="B30" s="78" t="s">
        <v>199</v>
      </c>
      <c r="C30" s="144">
        <f>'3 - End User Organisation '!D32</f>
        <v>0</v>
      </c>
      <c r="D30" s="142" t="s">
        <v>296</v>
      </c>
      <c r="E30" s="143"/>
      <c r="F30" s="142" t="str">
        <f>'3 - End User Organisation '!F32</f>
        <v>NYA</v>
      </c>
    </row>
    <row r="31" spans="1:6" x14ac:dyDescent="0.25">
      <c r="A31" s="153" t="s">
        <v>200</v>
      </c>
      <c r="B31" s="149"/>
      <c r="C31" s="150"/>
      <c r="D31" s="150"/>
      <c r="E31" s="150"/>
      <c r="F31" s="151"/>
    </row>
    <row r="32" spans="1:6" x14ac:dyDescent="0.25">
      <c r="A32" s="149"/>
      <c r="B32" s="78" t="s">
        <v>339</v>
      </c>
      <c r="C32" s="141"/>
      <c r="D32" s="142" t="s">
        <v>296</v>
      </c>
      <c r="E32" s="143"/>
      <c r="F32" s="142" t="str">
        <f>'3 - End User Organisation '!F34</f>
        <v>NYA</v>
      </c>
    </row>
    <row r="33" spans="1:6" x14ac:dyDescent="0.25">
      <c r="A33" s="153" t="s">
        <v>202</v>
      </c>
      <c r="B33" s="149"/>
      <c r="C33" s="150"/>
      <c r="D33" s="150"/>
      <c r="E33" s="150"/>
      <c r="F33" s="151"/>
    </row>
    <row r="34" spans="1:6" x14ac:dyDescent="0.25">
      <c r="A34" s="149"/>
      <c r="B34" s="78" t="s">
        <v>203</v>
      </c>
      <c r="C34" s="141"/>
      <c r="D34" s="142" t="s">
        <v>296</v>
      </c>
      <c r="E34" s="143"/>
      <c r="F34" s="142" t="str">
        <f>'3 - End User Organisation '!F36</f>
        <v>NYA</v>
      </c>
    </row>
    <row r="35" spans="1:6" x14ac:dyDescent="0.25">
      <c r="A35" s="149"/>
      <c r="B35" s="78" t="s">
        <v>340</v>
      </c>
      <c r="C35" s="154" t="str">
        <f>'3 - End User Organisation '!D37</f>
        <v>NYK</v>
      </c>
      <c r="D35" s="142" t="s">
        <v>296</v>
      </c>
      <c r="E35" s="143"/>
      <c r="F35" s="142" t="str">
        <f>'3 - End User Organisation '!F37</f>
        <v>NYA</v>
      </c>
    </row>
    <row r="36" spans="1:6" x14ac:dyDescent="0.25">
      <c r="A36" s="149"/>
      <c r="B36" s="78" t="s">
        <v>206</v>
      </c>
      <c r="C36" s="141"/>
      <c r="D36" s="142" t="s">
        <v>296</v>
      </c>
      <c r="E36" s="143"/>
      <c r="F36" s="142" t="str">
        <f>'3 - End User Organisation '!F38</f>
        <v>NYA</v>
      </c>
    </row>
    <row r="37" spans="1:6" x14ac:dyDescent="0.25">
      <c r="A37" s="149"/>
      <c r="B37" s="78" t="s">
        <v>341</v>
      </c>
      <c r="C37" s="154" t="str">
        <f>'3 - End User Organisation '!D39</f>
        <v>NYK</v>
      </c>
      <c r="D37" s="142" t="s">
        <v>296</v>
      </c>
      <c r="E37" s="143"/>
      <c r="F37" s="142" t="str">
        <f>'3 - End User Organisation '!F39</f>
        <v>NYA</v>
      </c>
    </row>
    <row r="38" spans="1:6" x14ac:dyDescent="0.25">
      <c r="A38" s="149"/>
      <c r="B38" s="78" t="s">
        <v>342</v>
      </c>
      <c r="C38" s="141"/>
      <c r="D38" s="142" t="s">
        <v>296</v>
      </c>
      <c r="E38" s="143"/>
      <c r="F38" s="142" t="str">
        <f>'3 - End User Organisation '!F40</f>
        <v>NYA</v>
      </c>
    </row>
    <row r="39" spans="1:6" x14ac:dyDescent="0.25">
      <c r="A39" s="149"/>
      <c r="B39" s="78" t="s">
        <v>343</v>
      </c>
      <c r="C39" s="154">
        <f>'3 - End User Organisation '!D41</f>
        <v>0</v>
      </c>
      <c r="D39" s="142" t="s">
        <v>296</v>
      </c>
      <c r="E39" s="143"/>
      <c r="F39" s="142" t="str">
        <f>'3 - End User Organisation '!F41</f>
        <v>NYA</v>
      </c>
    </row>
    <row r="40" spans="1:6" x14ac:dyDescent="0.25">
      <c r="A40" s="153" t="s">
        <v>643</v>
      </c>
      <c r="B40" s="149"/>
      <c r="C40" s="150"/>
      <c r="D40" s="150"/>
      <c r="E40" s="150"/>
      <c r="F40" s="151"/>
    </row>
    <row r="41" spans="1:6" ht="26.4" x14ac:dyDescent="0.25">
      <c r="A41" s="149"/>
      <c r="B41" s="78" t="s">
        <v>344</v>
      </c>
      <c r="C41" s="141"/>
      <c r="D41" s="142" t="s">
        <v>296</v>
      </c>
      <c r="E41" s="143"/>
      <c r="F41" s="142" t="str">
        <f>'3 - End User Organisation '!F43</f>
        <v>NYA</v>
      </c>
    </row>
    <row r="42" spans="1:6" x14ac:dyDescent="0.25">
      <c r="A42" s="149"/>
      <c r="B42" s="78" t="s">
        <v>213</v>
      </c>
      <c r="C42" s="141"/>
      <c r="D42" s="142" t="s">
        <v>296</v>
      </c>
      <c r="E42" s="143"/>
      <c r="F42" s="142" t="str">
        <f>'3 - End User Organisation '!F44</f>
        <v>NYA</v>
      </c>
    </row>
    <row r="43" spans="1:6" x14ac:dyDescent="0.25">
      <c r="A43" s="149"/>
      <c r="B43" s="78" t="s">
        <v>345</v>
      </c>
      <c r="C43" s="141"/>
      <c r="D43" s="142" t="s">
        <v>296</v>
      </c>
      <c r="E43" s="143"/>
      <c r="F43" s="142" t="str">
        <f>'3 - End User Organisation '!F45</f>
        <v>NYA</v>
      </c>
    </row>
    <row r="44" spans="1:6" x14ac:dyDescent="0.25">
      <c r="A44" s="149"/>
      <c r="B44" s="78" t="s">
        <v>346</v>
      </c>
      <c r="C44" s="141"/>
      <c r="D44" s="142" t="s">
        <v>296</v>
      </c>
      <c r="E44" s="143"/>
      <c r="F44" s="142" t="str">
        <f>'3 - End User Organisation '!F46</f>
        <v>NYA</v>
      </c>
    </row>
    <row r="45" spans="1:6" x14ac:dyDescent="0.25">
      <c r="A45" s="149"/>
      <c r="B45" s="78" t="s">
        <v>218</v>
      </c>
      <c r="C45" s="141"/>
      <c r="D45" s="142" t="s">
        <v>296</v>
      </c>
      <c r="E45" s="143"/>
      <c r="F45" s="142" t="str">
        <f>'3 - End User Organisation '!F47</f>
        <v>NYA</v>
      </c>
    </row>
    <row r="46" spans="1:6" x14ac:dyDescent="0.25">
      <c r="A46" s="149"/>
      <c r="B46" s="78" t="s">
        <v>220</v>
      </c>
      <c r="C46" s="141"/>
      <c r="D46" s="142" t="s">
        <v>296</v>
      </c>
      <c r="E46" s="143"/>
      <c r="F46" s="142" t="str">
        <f>'3 - End User Organisation '!F48</f>
        <v>NYA</v>
      </c>
    </row>
    <row r="47" spans="1:6" x14ac:dyDescent="0.25">
      <c r="A47" s="153" t="s">
        <v>617</v>
      </c>
      <c r="B47" s="149"/>
      <c r="C47" s="150"/>
      <c r="D47" s="150"/>
      <c r="E47" s="150"/>
      <c r="F47" s="151"/>
    </row>
    <row r="48" spans="1:6" x14ac:dyDescent="0.25">
      <c r="A48" s="149"/>
      <c r="B48" s="78" t="s">
        <v>221</v>
      </c>
      <c r="C48" s="141"/>
      <c r="D48" s="142" t="s">
        <v>296</v>
      </c>
      <c r="E48" s="143"/>
      <c r="F48" s="142" t="str">
        <f>'3 - End User Organisation '!F50</f>
        <v>NYA</v>
      </c>
    </row>
    <row r="49" spans="1:6" x14ac:dyDescent="0.25">
      <c r="A49" s="149"/>
      <c r="B49" s="78" t="s">
        <v>347</v>
      </c>
      <c r="C49" s="141"/>
      <c r="D49" s="142" t="s">
        <v>296</v>
      </c>
      <c r="E49" s="143"/>
      <c r="F49" s="142" t="str">
        <f>'3 - End User Organisation '!F51</f>
        <v>NYA</v>
      </c>
    </row>
    <row r="50" spans="1:6" x14ac:dyDescent="0.25">
      <c r="A50" s="149"/>
      <c r="B50" s="78" t="s">
        <v>348</v>
      </c>
      <c r="C50" s="144">
        <f>'3 - End User Organisation '!D52</f>
        <v>0</v>
      </c>
      <c r="D50" s="142" t="s">
        <v>296</v>
      </c>
      <c r="E50" s="143"/>
      <c r="F50" s="142" t="str">
        <f>'3 - End User Organisation '!F52</f>
        <v>NYA</v>
      </c>
    </row>
    <row r="51" spans="1:6" x14ac:dyDescent="0.25">
      <c r="A51" s="153" t="s">
        <v>223</v>
      </c>
      <c r="B51" s="149"/>
      <c r="C51" s="150"/>
      <c r="D51" s="150"/>
      <c r="E51" s="150"/>
      <c r="F51" s="151"/>
    </row>
    <row r="52" spans="1:6" x14ac:dyDescent="0.25">
      <c r="A52" s="149"/>
      <c r="B52" s="78" t="s">
        <v>349</v>
      </c>
      <c r="C52" s="141"/>
      <c r="D52" s="142" t="s">
        <v>296</v>
      </c>
      <c r="E52" s="143"/>
      <c r="F52" s="142" t="str">
        <f>'3 - End User Organisation '!F54</f>
        <v>NYA</v>
      </c>
    </row>
    <row r="53" spans="1:6" ht="26.4" x14ac:dyDescent="0.25">
      <c r="A53" s="149"/>
      <c r="B53" s="274" t="s">
        <v>226</v>
      </c>
      <c r="C53" s="141"/>
      <c r="D53" s="142" t="s">
        <v>296</v>
      </c>
      <c r="E53" s="143"/>
      <c r="F53" s="142" t="str">
        <f>'3 - End User Organisation '!F55</f>
        <v>NYA</v>
      </c>
    </row>
    <row r="54" spans="1:6" x14ac:dyDescent="0.25">
      <c r="A54" s="149"/>
      <c r="B54" s="272" t="s">
        <v>350</v>
      </c>
      <c r="C54" s="141"/>
      <c r="D54" s="142" t="s">
        <v>296</v>
      </c>
      <c r="E54" s="143"/>
      <c r="F54" s="142" t="str">
        <f>'3 - End User Organisation '!F56</f>
        <v>NYA</v>
      </c>
    </row>
    <row r="55" spans="1:6" ht="26.4" x14ac:dyDescent="0.25">
      <c r="A55" s="149"/>
      <c r="B55" s="78" t="s">
        <v>351</v>
      </c>
      <c r="C55" s="141"/>
      <c r="D55" s="142" t="s">
        <v>296</v>
      </c>
      <c r="E55" s="143"/>
      <c r="F55" s="142" t="str">
        <f>'3 - End User Organisation '!F57</f>
        <v>NYA</v>
      </c>
    </row>
    <row r="56" spans="1:6" x14ac:dyDescent="0.25">
      <c r="A56" s="149"/>
      <c r="B56" s="272" t="s">
        <v>352</v>
      </c>
      <c r="C56" s="141"/>
      <c r="D56" s="142" t="s">
        <v>296</v>
      </c>
      <c r="E56" s="143"/>
      <c r="F56" s="142" t="str">
        <f>'3 - End User Organisation '!F58</f>
        <v>NYA</v>
      </c>
    </row>
    <row r="57" spans="1:6" x14ac:dyDescent="0.25">
      <c r="A57" s="153" t="s">
        <v>231</v>
      </c>
      <c r="B57" s="149"/>
      <c r="C57" s="150"/>
      <c r="D57" s="150"/>
      <c r="E57" s="150"/>
      <c r="F57" s="151"/>
    </row>
    <row r="58" spans="1:6" x14ac:dyDescent="0.25">
      <c r="A58" s="149"/>
      <c r="B58" s="78" t="s">
        <v>353</v>
      </c>
      <c r="C58" s="141"/>
      <c r="D58" s="142" t="s">
        <v>296</v>
      </c>
      <c r="E58" s="143"/>
      <c r="F58" s="142" t="str">
        <f>'3 - End User Organisation '!F60</f>
        <v>NYA</v>
      </c>
    </row>
    <row r="59" spans="1:6" x14ac:dyDescent="0.25">
      <c r="A59" s="149"/>
      <c r="B59" s="78" t="s">
        <v>354</v>
      </c>
      <c r="C59" s="155" t="str">
        <f>'3 - End User Organisation '!D61</f>
        <v>NYK</v>
      </c>
      <c r="D59" s="142" t="s">
        <v>296</v>
      </c>
      <c r="E59" s="143"/>
      <c r="F59" s="142" t="str">
        <f>'3 - End User Organisation '!F61</f>
        <v>NYA</v>
      </c>
    </row>
    <row r="60" spans="1:6" x14ac:dyDescent="0.25">
      <c r="A60" s="149"/>
      <c r="B60" s="78" t="s">
        <v>4</v>
      </c>
      <c r="C60" s="144">
        <f>'3 - End User Organisation '!D62</f>
        <v>0</v>
      </c>
      <c r="D60" s="142" t="s">
        <v>296</v>
      </c>
      <c r="E60" s="143"/>
      <c r="F60" s="142" t="str">
        <f>'3 - End User Organisation '!F62</f>
        <v>NYA</v>
      </c>
    </row>
    <row r="61" spans="1:6" x14ac:dyDescent="0.25">
      <c r="A61" s="149"/>
      <c r="B61" s="78" t="s">
        <v>355</v>
      </c>
      <c r="C61" s="155" t="str">
        <f>'3 - End User Organisation '!D63</f>
        <v>NYK</v>
      </c>
      <c r="D61" s="142" t="s">
        <v>296</v>
      </c>
      <c r="E61" s="143"/>
      <c r="F61" s="142" t="str">
        <f>'3 - End User Organisation '!F63</f>
        <v>NYA</v>
      </c>
    </row>
    <row r="62" spans="1:6" x14ac:dyDescent="0.25">
      <c r="A62" s="149"/>
      <c r="B62" s="78" t="s">
        <v>4</v>
      </c>
      <c r="C62" s="144">
        <f>'3 - End User Organisation '!D64</f>
        <v>0</v>
      </c>
      <c r="D62" s="142" t="s">
        <v>296</v>
      </c>
      <c r="E62" s="143"/>
      <c r="F62" s="142" t="str">
        <f>'3 - End User Organisation '!F64</f>
        <v>NYA</v>
      </c>
    </row>
    <row r="63" spans="1:6" x14ac:dyDescent="0.25">
      <c r="A63" s="149"/>
      <c r="B63" s="78" t="s">
        <v>356</v>
      </c>
      <c r="C63" s="141"/>
      <c r="D63" s="142" t="s">
        <v>296</v>
      </c>
      <c r="E63" s="143"/>
      <c r="F63" s="142" t="str">
        <f>'3 - End User Organisation '!F65</f>
        <v>NYA</v>
      </c>
    </row>
    <row r="64" spans="1:6" x14ac:dyDescent="0.25">
      <c r="A64" s="149"/>
      <c r="B64" s="78" t="s">
        <v>357</v>
      </c>
      <c r="C64" s="141"/>
      <c r="D64" s="142" t="s">
        <v>296</v>
      </c>
      <c r="E64" s="143"/>
      <c r="F64" s="142" t="str">
        <f>'3 - End User Organisation '!F66</f>
        <v>NYA</v>
      </c>
    </row>
    <row r="65" spans="1:6" x14ac:dyDescent="0.25">
      <c r="A65" s="149"/>
      <c r="B65" s="78" t="s">
        <v>358</v>
      </c>
      <c r="C65" s="141"/>
      <c r="D65" s="142" t="s">
        <v>296</v>
      </c>
      <c r="E65" s="143"/>
      <c r="F65" s="142" t="str">
        <f>'3 - End User Organisation '!F67</f>
        <v>NYA</v>
      </c>
    </row>
    <row r="66" spans="1:6" ht="26.4" x14ac:dyDescent="0.25">
      <c r="A66" s="149"/>
      <c r="B66" s="272" t="s">
        <v>240</v>
      </c>
      <c r="C66" s="155" t="str">
        <f>'3 - End User Organisation '!D68</f>
        <v>England / Wales</v>
      </c>
      <c r="D66" s="142" t="s">
        <v>296</v>
      </c>
      <c r="E66" s="143"/>
      <c r="F66" s="142" t="str">
        <f>'3 - End User Organisation '!F68</f>
        <v>NYA</v>
      </c>
    </row>
    <row r="67" spans="1:6" x14ac:dyDescent="0.25">
      <c r="A67" s="149"/>
      <c r="B67" s="272"/>
      <c r="C67" s="141"/>
      <c r="D67" s="142" t="s">
        <v>296</v>
      </c>
      <c r="E67" s="143"/>
      <c r="F67" s="142" t="str">
        <f>'3 - End User Organisation '!F69</f>
        <v>NYA</v>
      </c>
    </row>
    <row r="68" spans="1:6" x14ac:dyDescent="0.25">
      <c r="A68" s="149"/>
      <c r="B68" s="78" t="s">
        <v>359</v>
      </c>
      <c r="C68" s="141"/>
      <c r="D68" s="142" t="s">
        <v>296</v>
      </c>
      <c r="E68" s="143"/>
      <c r="F68" s="142" t="str">
        <f>'3 - End User Organisation '!F70</f>
        <v>NYA</v>
      </c>
    </row>
    <row r="69" spans="1:6" ht="26.4" x14ac:dyDescent="0.25">
      <c r="A69" s="149"/>
      <c r="B69" s="272" t="s">
        <v>240</v>
      </c>
      <c r="C69" s="154" t="str">
        <f>'3 - End User Organisation '!D71</f>
        <v>England / Wales</v>
      </c>
      <c r="D69" s="142" t="s">
        <v>296</v>
      </c>
      <c r="E69" s="143"/>
      <c r="F69" s="142" t="str">
        <f>'3 - End User Organisation '!F71</f>
        <v>NYA</v>
      </c>
    </row>
    <row r="70" spans="1:6" x14ac:dyDescent="0.25">
      <c r="A70" s="149"/>
      <c r="B70" s="272"/>
      <c r="C70" s="141"/>
      <c r="D70" s="142" t="s">
        <v>296</v>
      </c>
      <c r="E70" s="143"/>
      <c r="F70" s="142" t="str">
        <f>'3 - End User Organisation '!F72</f>
        <v>NYA</v>
      </c>
    </row>
    <row r="71" spans="1:6" ht="26.4" x14ac:dyDescent="0.25">
      <c r="A71" s="149"/>
      <c r="B71" s="78" t="s">
        <v>360</v>
      </c>
      <c r="C71" s="154" t="str">
        <f>'3 - End User Organisation '!D73</f>
        <v>England / Wales</v>
      </c>
      <c r="D71" s="142" t="s">
        <v>296</v>
      </c>
      <c r="E71" s="143"/>
      <c r="F71" s="142" t="str">
        <f>'3 - End User Organisation '!F73</f>
        <v>NYA</v>
      </c>
    </row>
    <row r="72" spans="1:6" x14ac:dyDescent="0.25">
      <c r="A72" s="149"/>
      <c r="B72" s="78"/>
      <c r="C72" s="141"/>
      <c r="D72" s="142" t="s">
        <v>296</v>
      </c>
      <c r="E72" s="143"/>
      <c r="F72" s="142" t="str">
        <f>'3 - End User Organisation '!F74</f>
        <v>NYA</v>
      </c>
    </row>
    <row r="73" spans="1:6" x14ac:dyDescent="0.25">
      <c r="A73" s="153" t="s">
        <v>644</v>
      </c>
      <c r="B73" s="149"/>
      <c r="C73" s="150"/>
      <c r="D73" s="150"/>
      <c r="E73" s="150"/>
      <c r="F73" s="151"/>
    </row>
    <row r="74" spans="1:6" x14ac:dyDescent="0.25">
      <c r="A74" s="149"/>
      <c r="B74" s="78" t="s">
        <v>138</v>
      </c>
      <c r="C74" s="154" t="str">
        <f>'3 - End User Organisation '!D76</f>
        <v>NYA</v>
      </c>
      <c r="D74" s="142" t="s">
        <v>296</v>
      </c>
      <c r="E74" s="143"/>
      <c r="F74" s="142" t="str">
        <f>'3 - End User Organisation '!F76</f>
        <v>NYA</v>
      </c>
    </row>
    <row r="75" spans="1:6" x14ac:dyDescent="0.25">
      <c r="A75" s="149"/>
      <c r="B75" s="78" t="s">
        <v>139</v>
      </c>
      <c r="C75" s="144">
        <f>'3 - End User Organisation '!D77</f>
        <v>0</v>
      </c>
      <c r="D75" s="142" t="s">
        <v>296</v>
      </c>
      <c r="E75" s="143"/>
      <c r="F75" s="142" t="str">
        <f>'3 - End User Organisation '!F77</f>
        <v>NYA</v>
      </c>
    </row>
    <row r="76" spans="1:6" x14ac:dyDescent="0.25">
      <c r="A76" s="149"/>
      <c r="B76" s="78" t="s">
        <v>140</v>
      </c>
      <c r="C76" s="144">
        <f>'3 - End User Organisation '!D78</f>
        <v>0</v>
      </c>
      <c r="D76" s="142" t="s">
        <v>296</v>
      </c>
      <c r="E76" s="143"/>
      <c r="F76" s="142" t="str">
        <f>'3 - End User Organisation '!F78</f>
        <v>NYA</v>
      </c>
    </row>
    <row r="77" spans="1:6" x14ac:dyDescent="0.25">
      <c r="A77" s="149"/>
      <c r="B77" s="78" t="s">
        <v>245</v>
      </c>
      <c r="C77" s="154">
        <f>'3 - End User Organisation '!D79</f>
        <v>0</v>
      </c>
      <c r="D77" s="142" t="s">
        <v>296</v>
      </c>
      <c r="E77" s="143"/>
      <c r="F77" s="142" t="str">
        <f>'3 - End User Organisation '!F79</f>
        <v>NYA</v>
      </c>
    </row>
    <row r="78" spans="1:6" x14ac:dyDescent="0.25">
      <c r="A78" s="153" t="s">
        <v>246</v>
      </c>
      <c r="B78" s="149"/>
      <c r="C78" s="150"/>
      <c r="D78" s="150"/>
      <c r="E78" s="150"/>
      <c r="F78" s="151"/>
    </row>
    <row r="79" spans="1:6" x14ac:dyDescent="0.25">
      <c r="A79" s="153"/>
      <c r="B79" s="78" t="s">
        <v>247</v>
      </c>
      <c r="C79" s="141"/>
      <c r="D79" s="142" t="s">
        <v>296</v>
      </c>
      <c r="E79" s="143"/>
      <c r="F79" s="142" t="str">
        <f>'3 - End User Organisation '!F81</f>
        <v>NYA</v>
      </c>
    </row>
    <row r="80" spans="1:6" x14ac:dyDescent="0.25">
      <c r="A80" s="149"/>
      <c r="B80" s="78" t="s">
        <v>249</v>
      </c>
      <c r="C80" s="141"/>
      <c r="D80" s="142" t="s">
        <v>296</v>
      </c>
      <c r="E80" s="143"/>
      <c r="F80" s="142" t="str">
        <f>'3 - End User Organisation '!F82</f>
        <v>NYA</v>
      </c>
    </row>
    <row r="81" spans="1:6" x14ac:dyDescent="0.25">
      <c r="A81" s="149"/>
      <c r="B81" s="78" t="s">
        <v>361</v>
      </c>
      <c r="C81" s="141"/>
      <c r="D81" s="142" t="s">
        <v>296</v>
      </c>
      <c r="E81" s="143"/>
      <c r="F81" s="142" t="str">
        <f>'3 - End User Organisation '!F83</f>
        <v>NYA</v>
      </c>
    </row>
    <row r="82" spans="1:6" x14ac:dyDescent="0.25">
      <c r="A82" s="149"/>
      <c r="B82" s="78" t="s">
        <v>104</v>
      </c>
      <c r="C82" s="141"/>
      <c r="D82" s="142" t="s">
        <v>296</v>
      </c>
      <c r="E82" s="143"/>
      <c r="F82" s="142" t="str">
        <f>'3 - End User Organisation '!F84</f>
        <v>NYA</v>
      </c>
    </row>
    <row r="83" spans="1:6" x14ac:dyDescent="0.25">
      <c r="A83" s="149"/>
      <c r="B83" s="78" t="s">
        <v>0</v>
      </c>
      <c r="C83" s="141"/>
      <c r="D83" s="142" t="s">
        <v>296</v>
      </c>
      <c r="E83" s="143"/>
      <c r="F83" s="142" t="str">
        <f>'3 - End User Organisation '!F85</f>
        <v>NYA</v>
      </c>
    </row>
    <row r="84" spans="1:6" ht="26.4" x14ac:dyDescent="0.25">
      <c r="A84" s="149"/>
      <c r="B84" s="78" t="s">
        <v>362</v>
      </c>
      <c r="C84" s="141"/>
      <c r="D84" s="142" t="s">
        <v>296</v>
      </c>
      <c r="E84" s="143"/>
      <c r="F84" s="142" t="str">
        <f>'3 - End User Organisation '!F86</f>
        <v>NYA</v>
      </c>
    </row>
    <row r="85" spans="1:6" x14ac:dyDescent="0.25">
      <c r="A85" s="149"/>
      <c r="B85" s="78" t="s">
        <v>363</v>
      </c>
      <c r="C85" s="141"/>
      <c r="D85" s="142" t="s">
        <v>296</v>
      </c>
      <c r="E85" s="143"/>
      <c r="F85" s="142" t="str">
        <f>'3 - End User Organisation '!F87</f>
        <v>NYA</v>
      </c>
    </row>
  </sheetData>
  <mergeCells count="1">
    <mergeCell ref="A1:F1"/>
  </mergeCells>
  <conditionalFormatting sqref="D7">
    <cfRule type="containsText" dxfId="51" priority="49" operator="containsText" text="Not OK">
      <formula>NOT(ISERROR(SEARCH("Not OK",D7)))</formula>
    </cfRule>
    <cfRule type="containsText" dxfId="50" priority="50" operator="containsText" text="Queries">
      <formula>NOT(ISERROR(SEARCH("Queries",D7)))</formula>
    </cfRule>
    <cfRule type="containsText" dxfId="49" priority="51" operator="containsText" text="OK">
      <formula>NOT(ISERROR(SEARCH("OK",D7)))</formula>
    </cfRule>
    <cfRule type="containsText" dxfId="48" priority="52" operator="containsText" text="NYA">
      <formula>NOT(ISERROR(SEARCH("NYA",D7)))</formula>
    </cfRule>
  </conditionalFormatting>
  <conditionalFormatting sqref="D8:D19">
    <cfRule type="containsText" dxfId="47" priority="45" operator="containsText" text="Not OK">
      <formula>NOT(ISERROR(SEARCH("Not OK",D8)))</formula>
    </cfRule>
    <cfRule type="containsText" dxfId="46" priority="46" operator="containsText" text="Queries">
      <formula>NOT(ISERROR(SEARCH("Queries",D8)))</formula>
    </cfRule>
    <cfRule type="containsText" dxfId="45" priority="47" operator="containsText" text="OK">
      <formula>NOT(ISERROR(SEARCH("OK",D8)))</formula>
    </cfRule>
    <cfRule type="containsText" dxfId="44" priority="48" operator="containsText" text="NYA">
      <formula>NOT(ISERROR(SEARCH("NYA",D8)))</formula>
    </cfRule>
  </conditionalFormatting>
  <conditionalFormatting sqref="D21:D22">
    <cfRule type="containsText" dxfId="43" priority="41" operator="containsText" text="Not OK">
      <formula>NOT(ISERROR(SEARCH("Not OK",D21)))</formula>
    </cfRule>
    <cfRule type="containsText" dxfId="42" priority="42" operator="containsText" text="Queries">
      <formula>NOT(ISERROR(SEARCH("Queries",D21)))</formula>
    </cfRule>
    <cfRule type="containsText" dxfId="41" priority="43" operator="containsText" text="OK">
      <formula>NOT(ISERROR(SEARCH("OK",D21)))</formula>
    </cfRule>
    <cfRule type="containsText" dxfId="40" priority="44" operator="containsText" text="NYA">
      <formula>NOT(ISERROR(SEARCH("NYA",D21)))</formula>
    </cfRule>
  </conditionalFormatting>
  <conditionalFormatting sqref="D24:D26">
    <cfRule type="containsText" dxfId="39" priority="37" operator="containsText" text="Not OK">
      <formula>NOT(ISERROR(SEARCH("Not OK",D24)))</formula>
    </cfRule>
    <cfRule type="containsText" dxfId="38" priority="38" operator="containsText" text="Queries">
      <formula>NOT(ISERROR(SEARCH("Queries",D24)))</formula>
    </cfRule>
    <cfRule type="containsText" dxfId="37" priority="39" operator="containsText" text="OK">
      <formula>NOT(ISERROR(SEARCH("OK",D24)))</formula>
    </cfRule>
    <cfRule type="containsText" dxfId="36" priority="40" operator="containsText" text="NYA">
      <formula>NOT(ISERROR(SEARCH("NYA",D24)))</formula>
    </cfRule>
  </conditionalFormatting>
  <conditionalFormatting sqref="D28:D30">
    <cfRule type="containsText" dxfId="35" priority="33" operator="containsText" text="Not OK">
      <formula>NOT(ISERROR(SEARCH("Not OK",D28)))</formula>
    </cfRule>
    <cfRule type="containsText" dxfId="34" priority="34" operator="containsText" text="Queries">
      <formula>NOT(ISERROR(SEARCH("Queries",D28)))</formula>
    </cfRule>
    <cfRule type="containsText" dxfId="33" priority="35" operator="containsText" text="OK">
      <formula>NOT(ISERROR(SEARCH("OK",D28)))</formula>
    </cfRule>
    <cfRule type="containsText" dxfId="32" priority="36" operator="containsText" text="NYA">
      <formula>NOT(ISERROR(SEARCH("NYA",D28)))</formula>
    </cfRule>
  </conditionalFormatting>
  <conditionalFormatting sqref="D32">
    <cfRule type="containsText" dxfId="31" priority="29" operator="containsText" text="Not OK">
      <formula>NOT(ISERROR(SEARCH("Not OK",D32)))</formula>
    </cfRule>
    <cfRule type="containsText" dxfId="30" priority="30" operator="containsText" text="Queries">
      <formula>NOT(ISERROR(SEARCH("Queries",D32)))</formula>
    </cfRule>
    <cfRule type="containsText" dxfId="29" priority="31" operator="containsText" text="OK">
      <formula>NOT(ISERROR(SEARCH("OK",D32)))</formula>
    </cfRule>
    <cfRule type="containsText" dxfId="28" priority="32" operator="containsText" text="NYA">
      <formula>NOT(ISERROR(SEARCH("NYA",D32)))</formula>
    </cfRule>
  </conditionalFormatting>
  <conditionalFormatting sqref="D34:D39">
    <cfRule type="containsText" dxfId="27" priority="25" operator="containsText" text="Not OK">
      <formula>NOT(ISERROR(SEARCH("Not OK",D34)))</formula>
    </cfRule>
    <cfRule type="containsText" dxfId="26" priority="26" operator="containsText" text="Queries">
      <formula>NOT(ISERROR(SEARCH("Queries",D34)))</formula>
    </cfRule>
    <cfRule type="containsText" dxfId="25" priority="27" operator="containsText" text="OK">
      <formula>NOT(ISERROR(SEARCH("OK",D34)))</formula>
    </cfRule>
    <cfRule type="containsText" dxfId="24" priority="28" operator="containsText" text="NYA">
      <formula>NOT(ISERROR(SEARCH("NYA",D34)))</formula>
    </cfRule>
  </conditionalFormatting>
  <conditionalFormatting sqref="D41:D46">
    <cfRule type="containsText" dxfId="23" priority="21" operator="containsText" text="Not OK">
      <formula>NOT(ISERROR(SEARCH("Not OK",D41)))</formula>
    </cfRule>
    <cfRule type="containsText" dxfId="22" priority="22" operator="containsText" text="Queries">
      <formula>NOT(ISERROR(SEARCH("Queries",D41)))</formula>
    </cfRule>
    <cfRule type="containsText" dxfId="21" priority="23" operator="containsText" text="OK">
      <formula>NOT(ISERROR(SEARCH("OK",D41)))</formula>
    </cfRule>
    <cfRule type="containsText" dxfId="20" priority="24" operator="containsText" text="NYA">
      <formula>NOT(ISERROR(SEARCH("NYA",D41)))</formula>
    </cfRule>
  </conditionalFormatting>
  <conditionalFormatting sqref="D48:D50">
    <cfRule type="containsText" dxfId="19" priority="17" operator="containsText" text="Not OK">
      <formula>NOT(ISERROR(SEARCH("Not OK",D48)))</formula>
    </cfRule>
    <cfRule type="containsText" dxfId="18" priority="18" operator="containsText" text="Queries">
      <formula>NOT(ISERROR(SEARCH("Queries",D48)))</formula>
    </cfRule>
    <cfRule type="containsText" dxfId="17" priority="19" operator="containsText" text="OK">
      <formula>NOT(ISERROR(SEARCH("OK",D48)))</formula>
    </cfRule>
    <cfRule type="containsText" dxfId="16" priority="20" operator="containsText" text="NYA">
      <formula>NOT(ISERROR(SEARCH("NYA",D48)))</formula>
    </cfRule>
  </conditionalFormatting>
  <conditionalFormatting sqref="D52:D56">
    <cfRule type="containsText" dxfId="15" priority="13" operator="containsText" text="Not OK">
      <formula>NOT(ISERROR(SEARCH("Not OK",D52)))</formula>
    </cfRule>
    <cfRule type="containsText" dxfId="14" priority="14" operator="containsText" text="Queries">
      <formula>NOT(ISERROR(SEARCH("Queries",D52)))</formula>
    </cfRule>
    <cfRule type="containsText" dxfId="13" priority="15" operator="containsText" text="OK">
      <formula>NOT(ISERROR(SEARCH("OK",D52)))</formula>
    </cfRule>
    <cfRule type="containsText" dxfId="12" priority="16" operator="containsText" text="NYA">
      <formula>NOT(ISERROR(SEARCH("NYA",D52)))</formula>
    </cfRule>
  </conditionalFormatting>
  <conditionalFormatting sqref="D58:D72">
    <cfRule type="containsText" dxfId="11" priority="9" operator="containsText" text="Not OK">
      <formula>NOT(ISERROR(SEARCH("Not OK",D58)))</formula>
    </cfRule>
    <cfRule type="containsText" dxfId="10" priority="10" operator="containsText" text="Queries">
      <formula>NOT(ISERROR(SEARCH("Queries",D58)))</formula>
    </cfRule>
    <cfRule type="containsText" dxfId="9" priority="11" operator="containsText" text="OK">
      <formula>NOT(ISERROR(SEARCH("OK",D58)))</formula>
    </cfRule>
    <cfRule type="containsText" dxfId="8" priority="12" operator="containsText" text="NYA">
      <formula>NOT(ISERROR(SEARCH("NYA",D58)))</formula>
    </cfRule>
  </conditionalFormatting>
  <conditionalFormatting sqref="D74:D77">
    <cfRule type="containsText" dxfId="7" priority="5" operator="containsText" text="Not OK">
      <formula>NOT(ISERROR(SEARCH("Not OK",D74)))</formula>
    </cfRule>
    <cfRule type="containsText" dxfId="6" priority="6" operator="containsText" text="Queries">
      <formula>NOT(ISERROR(SEARCH("Queries",D74)))</formula>
    </cfRule>
    <cfRule type="containsText" dxfId="5" priority="7" operator="containsText" text="OK">
      <formula>NOT(ISERROR(SEARCH("OK",D74)))</formula>
    </cfRule>
    <cfRule type="containsText" dxfId="4" priority="8" operator="containsText" text="NYA">
      <formula>NOT(ISERROR(SEARCH("NYA",D74)))</formula>
    </cfRule>
  </conditionalFormatting>
  <conditionalFormatting sqref="D79:D85">
    <cfRule type="containsText" dxfId="3" priority="1" operator="containsText" text="Not OK">
      <formula>NOT(ISERROR(SEARCH("Not OK",D79)))</formula>
    </cfRule>
    <cfRule type="containsText" dxfId="2" priority="2" operator="containsText" text="Queries">
      <formula>NOT(ISERROR(SEARCH("Queries",D79)))</formula>
    </cfRule>
    <cfRule type="containsText" dxfId="1" priority="3" operator="containsText" text="OK">
      <formula>NOT(ISERROR(SEARCH("OK",D79)))</formula>
    </cfRule>
    <cfRule type="containsText" dxfId="0" priority="4" operator="containsText" text="NYA">
      <formula>NOT(ISERROR(SEARCH("NYA",D79)))</formula>
    </cfRule>
  </conditionalFormatting>
  <dataValidations count="1">
    <dataValidation type="list" allowBlank="1" showInputMessage="1" showErrorMessage="1" sqref="E77">
      <formula1>#REF!</formula1>
    </dataValidation>
  </dataValidations>
  <hyperlinks>
    <hyperlink ref="G1" location="Introduction!A1" display="Back to introduction"/>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pageSetUpPr fitToPage="1"/>
  </sheetPr>
  <dimension ref="B1:F124"/>
  <sheetViews>
    <sheetView zoomScale="90" zoomScaleNormal="90" workbookViewId="0">
      <selection activeCell="F1" sqref="F1"/>
    </sheetView>
  </sheetViews>
  <sheetFormatPr defaultColWidth="8.88671875" defaultRowHeight="13.2" x14ac:dyDescent="0.25"/>
  <cols>
    <col min="1" max="1" width="2.88671875" style="157" customWidth="1"/>
    <col min="2" max="2" width="16.6640625" style="158" customWidth="1"/>
    <col min="3" max="3" width="20.88671875" style="157" customWidth="1"/>
    <col min="4" max="16384" width="8.88671875" style="157"/>
  </cols>
  <sheetData>
    <row r="1" spans="2:6" ht="17.399999999999999" x14ac:dyDescent="0.3">
      <c r="B1" s="423" t="s">
        <v>975</v>
      </c>
      <c r="C1" s="424"/>
      <c r="D1" s="424"/>
      <c r="F1" s="443" t="s">
        <v>1098</v>
      </c>
    </row>
    <row r="3" spans="2:6" x14ac:dyDescent="0.25">
      <c r="B3" s="156" t="s">
        <v>632</v>
      </c>
    </row>
    <row r="5" spans="2:6" x14ac:dyDescent="0.25">
      <c r="B5" s="156" t="s">
        <v>364</v>
      </c>
      <c r="C5" s="159" t="s">
        <v>365</v>
      </c>
    </row>
    <row r="6" spans="2:6" x14ac:dyDescent="0.25">
      <c r="B6" s="158" t="s">
        <v>366</v>
      </c>
      <c r="C6" s="157" t="s">
        <v>367</v>
      </c>
    </row>
    <row r="7" spans="2:6" x14ac:dyDescent="0.25">
      <c r="B7" s="158" t="s">
        <v>368</v>
      </c>
      <c r="C7" s="157" t="s">
        <v>369</v>
      </c>
    </row>
    <row r="8" spans="2:6" x14ac:dyDescent="0.25">
      <c r="B8" s="158" t="s">
        <v>370</v>
      </c>
      <c r="C8" s="157" t="s">
        <v>371</v>
      </c>
    </row>
    <row r="9" spans="2:6" x14ac:dyDescent="0.25">
      <c r="B9" s="158" t="s">
        <v>372</v>
      </c>
      <c r="C9" s="157" t="s">
        <v>373</v>
      </c>
    </row>
    <row r="10" spans="2:6" x14ac:dyDescent="0.25">
      <c r="B10" s="158" t="s">
        <v>30</v>
      </c>
      <c r="C10" s="157" t="s">
        <v>374</v>
      </c>
    </row>
    <row r="11" spans="2:6" x14ac:dyDescent="0.25">
      <c r="B11" s="158" t="s">
        <v>375</v>
      </c>
      <c r="C11" s="157" t="s">
        <v>376</v>
      </c>
    </row>
    <row r="13" spans="2:6" x14ac:dyDescent="0.25">
      <c r="B13" s="156" t="s">
        <v>377</v>
      </c>
      <c r="C13" s="159"/>
    </row>
    <row r="14" spans="2:6" x14ac:dyDescent="0.25">
      <c r="B14" s="158" t="s">
        <v>954</v>
      </c>
    </row>
    <row r="15" spans="2:6" x14ac:dyDescent="0.25">
      <c r="B15" s="158" t="s">
        <v>955</v>
      </c>
    </row>
    <row r="16" spans="2:6" x14ac:dyDescent="0.25">
      <c r="B16" s="158" t="s">
        <v>956</v>
      </c>
    </row>
    <row r="17" spans="2:2" x14ac:dyDescent="0.25">
      <c r="B17" s="158" t="s">
        <v>957</v>
      </c>
    </row>
    <row r="18" spans="2:2" x14ac:dyDescent="0.25">
      <c r="B18" s="158" t="s">
        <v>380</v>
      </c>
    </row>
    <row r="19" spans="2:2" x14ac:dyDescent="0.25">
      <c r="B19" s="158" t="s">
        <v>958</v>
      </c>
    </row>
    <row r="20" spans="2:2" x14ac:dyDescent="0.25">
      <c r="B20" s="158" t="s">
        <v>959</v>
      </c>
    </row>
    <row r="21" spans="2:2" x14ac:dyDescent="0.25">
      <c r="B21" s="158" t="s">
        <v>960</v>
      </c>
    </row>
    <row r="22" spans="2:2" x14ac:dyDescent="0.25">
      <c r="B22" s="158" t="s">
        <v>961</v>
      </c>
    </row>
    <row r="23" spans="2:2" x14ac:dyDescent="0.25">
      <c r="B23" s="158" t="s">
        <v>962</v>
      </c>
    </row>
    <row r="24" spans="2:2" x14ac:dyDescent="0.25">
      <c r="B24" s="158" t="s">
        <v>963</v>
      </c>
    </row>
    <row r="25" spans="2:2" x14ac:dyDescent="0.25">
      <c r="B25" s="158" t="s">
        <v>964</v>
      </c>
    </row>
    <row r="26" spans="2:2" x14ac:dyDescent="0.25">
      <c r="B26" s="158" t="s">
        <v>965</v>
      </c>
    </row>
    <row r="27" spans="2:2" x14ac:dyDescent="0.25">
      <c r="B27" s="158" t="s">
        <v>966</v>
      </c>
    </row>
    <row r="28" spans="2:2" x14ac:dyDescent="0.25">
      <c r="B28" s="158" t="s">
        <v>392</v>
      </c>
    </row>
    <row r="29" spans="2:2" x14ac:dyDescent="0.25">
      <c r="B29" s="158" t="s">
        <v>967</v>
      </c>
    </row>
    <row r="30" spans="2:2" x14ac:dyDescent="0.25">
      <c r="B30" s="158" t="s">
        <v>968</v>
      </c>
    </row>
    <row r="31" spans="2:2" x14ac:dyDescent="0.25">
      <c r="B31" s="158" t="s">
        <v>969</v>
      </c>
    </row>
    <row r="32" spans="2:2" x14ac:dyDescent="0.25">
      <c r="B32" s="158" t="s">
        <v>393</v>
      </c>
    </row>
    <row r="33" spans="2:3" x14ac:dyDescent="0.25">
      <c r="B33" s="158" t="s">
        <v>970</v>
      </c>
    </row>
    <row r="34" spans="2:3" x14ac:dyDescent="0.25">
      <c r="B34" s="158" t="s">
        <v>971</v>
      </c>
    </row>
    <row r="35" spans="2:3" x14ac:dyDescent="0.25">
      <c r="B35" s="158" t="s">
        <v>972</v>
      </c>
    </row>
    <row r="36" spans="2:3" x14ac:dyDescent="0.25">
      <c r="B36" s="158" t="s">
        <v>973</v>
      </c>
    </row>
    <row r="37" spans="2:3" x14ac:dyDescent="0.25">
      <c r="B37" s="158" t="s">
        <v>974</v>
      </c>
    </row>
    <row r="40" spans="2:3" x14ac:dyDescent="0.25">
      <c r="B40" s="156" t="s">
        <v>396</v>
      </c>
    </row>
    <row r="41" spans="2:3" x14ac:dyDescent="0.25">
      <c r="B41" s="158" t="s">
        <v>296</v>
      </c>
      <c r="C41" s="157" t="s">
        <v>378</v>
      </c>
    </row>
    <row r="42" spans="2:3" x14ac:dyDescent="0.25">
      <c r="B42" s="158" t="s">
        <v>30</v>
      </c>
      <c r="C42" s="157" t="s">
        <v>374</v>
      </c>
    </row>
    <row r="43" spans="2:3" x14ac:dyDescent="0.25">
      <c r="B43" s="158" t="s">
        <v>379</v>
      </c>
      <c r="C43" s="157" t="s">
        <v>380</v>
      </c>
    </row>
    <row r="44" spans="2:3" x14ac:dyDescent="0.25">
      <c r="B44" s="158" t="s">
        <v>381</v>
      </c>
      <c r="C44" s="157" t="s">
        <v>382</v>
      </c>
    </row>
    <row r="45" spans="2:3" x14ac:dyDescent="0.25">
      <c r="B45" s="158" t="s">
        <v>383</v>
      </c>
      <c r="C45" s="157" t="s">
        <v>384</v>
      </c>
    </row>
    <row r="46" spans="2:3" x14ac:dyDescent="0.25">
      <c r="B46" s="158" t="s">
        <v>385</v>
      </c>
      <c r="C46" s="157" t="s">
        <v>386</v>
      </c>
    </row>
    <row r="47" spans="2:3" x14ac:dyDescent="0.25">
      <c r="B47" s="158" t="s">
        <v>387</v>
      </c>
      <c r="C47" s="157" t="s">
        <v>388</v>
      </c>
    </row>
    <row r="48" spans="2:3" x14ac:dyDescent="0.25">
      <c r="B48" s="158" t="s">
        <v>389</v>
      </c>
      <c r="C48" s="157" t="s">
        <v>390</v>
      </c>
    </row>
    <row r="49" spans="2:3" x14ac:dyDescent="0.25">
      <c r="B49" s="158" t="s">
        <v>391</v>
      </c>
      <c r="C49" s="157" t="s">
        <v>392</v>
      </c>
    </row>
    <row r="50" spans="2:3" x14ac:dyDescent="0.25">
      <c r="B50" s="158" t="s">
        <v>394</v>
      </c>
      <c r="C50" s="157" t="s">
        <v>395</v>
      </c>
    </row>
    <row r="51" spans="2:3" x14ac:dyDescent="0.25">
      <c r="B51" s="156"/>
    </row>
    <row r="52" spans="2:3" x14ac:dyDescent="0.25">
      <c r="B52" s="156" t="s">
        <v>397</v>
      </c>
    </row>
    <row r="53" spans="2:3" x14ac:dyDescent="0.25">
      <c r="B53" s="158" t="s">
        <v>308</v>
      </c>
      <c r="C53" s="157" t="s">
        <v>398</v>
      </c>
    </row>
    <row r="54" spans="2:3" x14ac:dyDescent="0.25">
      <c r="B54" s="158" t="s">
        <v>399</v>
      </c>
      <c r="C54" s="157" t="s">
        <v>400</v>
      </c>
    </row>
    <row r="55" spans="2:3" x14ac:dyDescent="0.25">
      <c r="B55" s="158" t="s">
        <v>401</v>
      </c>
      <c r="C55" s="157" t="s">
        <v>402</v>
      </c>
    </row>
    <row r="56" spans="2:3" x14ac:dyDescent="0.25">
      <c r="B56" s="158" t="s">
        <v>403</v>
      </c>
      <c r="C56" s="157" t="s">
        <v>404</v>
      </c>
    </row>
    <row r="58" spans="2:3" x14ac:dyDescent="0.25">
      <c r="B58" s="156" t="s">
        <v>104</v>
      </c>
    </row>
    <row r="59" spans="2:3" x14ac:dyDescent="0.25">
      <c r="B59" s="158" t="s">
        <v>296</v>
      </c>
      <c r="C59" s="157" t="s">
        <v>378</v>
      </c>
    </row>
    <row r="60" spans="2:3" x14ac:dyDescent="0.25">
      <c r="B60" s="158" t="s">
        <v>405</v>
      </c>
      <c r="C60" s="157" t="s">
        <v>406</v>
      </c>
    </row>
    <row r="61" spans="2:3" x14ac:dyDescent="0.25">
      <c r="B61" s="158" t="s">
        <v>407</v>
      </c>
      <c r="C61" s="157" t="s">
        <v>408</v>
      </c>
    </row>
    <row r="62" spans="2:3" x14ac:dyDescent="0.25">
      <c r="B62" s="158" t="s">
        <v>409</v>
      </c>
      <c r="C62" s="157" t="s">
        <v>410</v>
      </c>
    </row>
    <row r="63" spans="2:3" x14ac:dyDescent="0.25">
      <c r="B63" s="158" t="s">
        <v>411</v>
      </c>
      <c r="C63" s="157" t="s">
        <v>412</v>
      </c>
    </row>
    <row r="65" spans="2:3" x14ac:dyDescent="0.25">
      <c r="B65" s="156" t="s">
        <v>413</v>
      </c>
    </row>
    <row r="66" spans="2:3" x14ac:dyDescent="0.25">
      <c r="B66" s="158" t="s">
        <v>308</v>
      </c>
      <c r="C66" s="157" t="s">
        <v>398</v>
      </c>
    </row>
    <row r="67" spans="2:3" x14ac:dyDescent="0.25">
      <c r="B67" s="158" t="s">
        <v>414</v>
      </c>
      <c r="C67" s="157" t="s">
        <v>415</v>
      </c>
    </row>
    <row r="68" spans="2:3" x14ac:dyDescent="0.25">
      <c r="B68" s="158" t="s">
        <v>587</v>
      </c>
      <c r="C68" s="157" t="s">
        <v>416</v>
      </c>
    </row>
    <row r="69" spans="2:3" x14ac:dyDescent="0.25">
      <c r="B69" s="158" t="s">
        <v>417</v>
      </c>
      <c r="C69" s="157" t="s">
        <v>418</v>
      </c>
    </row>
    <row r="70" spans="2:3" x14ac:dyDescent="0.25">
      <c r="B70" s="158" t="s">
        <v>419</v>
      </c>
      <c r="C70" s="157" t="s">
        <v>420</v>
      </c>
    </row>
    <row r="71" spans="2:3" x14ac:dyDescent="0.25">
      <c r="B71" s="158" t="s">
        <v>421</v>
      </c>
      <c r="C71" s="157" t="s">
        <v>422</v>
      </c>
    </row>
    <row r="72" spans="2:3" x14ac:dyDescent="0.25">
      <c r="B72" s="158" t="s">
        <v>423</v>
      </c>
      <c r="C72" s="157" t="s">
        <v>424</v>
      </c>
    </row>
    <row r="73" spans="2:3" x14ac:dyDescent="0.25">
      <c r="B73" s="158" t="s">
        <v>30</v>
      </c>
      <c r="C73" s="157" t="s">
        <v>425</v>
      </c>
    </row>
    <row r="75" spans="2:3" x14ac:dyDescent="0.25">
      <c r="B75" s="156" t="s">
        <v>426</v>
      </c>
    </row>
    <row r="76" spans="2:3" x14ac:dyDescent="0.25">
      <c r="B76" s="158" t="s">
        <v>308</v>
      </c>
      <c r="C76" s="157" t="s">
        <v>398</v>
      </c>
    </row>
    <row r="77" spans="2:3" x14ac:dyDescent="0.25">
      <c r="B77" s="158" t="s">
        <v>149</v>
      </c>
    </row>
    <row r="78" spans="2:3" x14ac:dyDescent="0.25">
      <c r="B78" s="158" t="s">
        <v>427</v>
      </c>
    </row>
    <row r="79" spans="2:3" x14ac:dyDescent="0.25">
      <c r="B79" s="158" t="s">
        <v>428</v>
      </c>
    </row>
    <row r="80" spans="2:3" x14ac:dyDescent="0.25">
      <c r="B80" s="158" t="s">
        <v>429</v>
      </c>
    </row>
    <row r="82" spans="2:3" x14ac:dyDescent="0.25">
      <c r="B82" s="156" t="s">
        <v>430</v>
      </c>
    </row>
    <row r="83" spans="2:3" x14ac:dyDescent="0.25">
      <c r="B83" s="109" t="s">
        <v>149</v>
      </c>
    </row>
    <row r="84" spans="2:3" x14ac:dyDescent="0.25">
      <c r="B84" s="158" t="s">
        <v>427</v>
      </c>
    </row>
    <row r="85" spans="2:3" x14ac:dyDescent="0.25">
      <c r="B85" s="158" t="s">
        <v>428</v>
      </c>
    </row>
    <row r="86" spans="2:3" x14ac:dyDescent="0.25">
      <c r="B86" s="158" t="s">
        <v>429</v>
      </c>
    </row>
    <row r="88" spans="2:3" x14ac:dyDescent="0.25">
      <c r="B88" s="156" t="s">
        <v>240</v>
      </c>
    </row>
    <row r="89" spans="2:3" x14ac:dyDescent="0.25">
      <c r="B89" s="158" t="s">
        <v>502</v>
      </c>
    </row>
    <row r="90" spans="2:3" x14ac:dyDescent="0.25">
      <c r="B90" s="158" t="s">
        <v>431</v>
      </c>
      <c r="C90" s="157" t="s">
        <v>432</v>
      </c>
    </row>
    <row r="91" spans="2:3" x14ac:dyDescent="0.25">
      <c r="B91" s="158" t="s">
        <v>433</v>
      </c>
      <c r="C91" s="157" t="s">
        <v>434</v>
      </c>
    </row>
    <row r="92" spans="2:3" x14ac:dyDescent="0.25">
      <c r="B92" s="158" t="s">
        <v>407</v>
      </c>
      <c r="C92" s="157" t="s">
        <v>435</v>
      </c>
    </row>
    <row r="94" spans="2:3" x14ac:dyDescent="0.25">
      <c r="B94" s="156" t="s">
        <v>436</v>
      </c>
    </row>
    <row r="95" spans="2:3" x14ac:dyDescent="0.25">
      <c r="B95" s="158" t="s">
        <v>296</v>
      </c>
      <c r="C95" s="157" t="s">
        <v>376</v>
      </c>
    </row>
    <row r="96" spans="2:3" x14ac:dyDescent="0.25">
      <c r="B96" s="158" t="s">
        <v>437</v>
      </c>
      <c r="C96" s="157" t="s">
        <v>470</v>
      </c>
    </row>
    <row r="97" spans="2:3" x14ac:dyDescent="0.25">
      <c r="B97" s="158" t="s">
        <v>438</v>
      </c>
      <c r="C97" s="157" t="s">
        <v>469</v>
      </c>
    </row>
    <row r="98" spans="2:3" x14ac:dyDescent="0.25">
      <c r="B98" s="158" t="s">
        <v>439</v>
      </c>
      <c r="C98" s="157" t="s">
        <v>440</v>
      </c>
    </row>
    <row r="100" spans="2:3" x14ac:dyDescent="0.25">
      <c r="B100" s="156" t="s">
        <v>441</v>
      </c>
    </row>
    <row r="101" spans="2:3" x14ac:dyDescent="0.25">
      <c r="B101" s="158" t="s">
        <v>308</v>
      </c>
      <c r="C101" s="157" t="s">
        <v>398</v>
      </c>
    </row>
    <row r="102" spans="2:3" x14ac:dyDescent="0.25">
      <c r="B102" s="158" t="s">
        <v>442</v>
      </c>
      <c r="C102" s="157" t="s">
        <v>443</v>
      </c>
    </row>
    <row r="103" spans="2:3" x14ac:dyDescent="0.25">
      <c r="B103" s="158" t="s">
        <v>444</v>
      </c>
      <c r="C103" s="157" t="s">
        <v>445</v>
      </c>
    </row>
    <row r="104" spans="2:3" x14ac:dyDescent="0.25">
      <c r="B104" s="158" t="s">
        <v>446</v>
      </c>
      <c r="C104" s="157" t="s">
        <v>447</v>
      </c>
    </row>
    <row r="105" spans="2:3" x14ac:dyDescent="0.25">
      <c r="B105" s="158" t="s">
        <v>448</v>
      </c>
      <c r="C105" s="157" t="s">
        <v>449</v>
      </c>
    </row>
    <row r="106" spans="2:3" x14ac:dyDescent="0.25">
      <c r="B106" s="158" t="s">
        <v>450</v>
      </c>
      <c r="C106" s="157" t="s">
        <v>451</v>
      </c>
    </row>
    <row r="108" spans="2:3" x14ac:dyDescent="0.25">
      <c r="B108" s="156" t="s">
        <v>471</v>
      </c>
    </row>
    <row r="109" spans="2:3" x14ac:dyDescent="0.25">
      <c r="B109" s="158" t="s">
        <v>472</v>
      </c>
    </row>
    <row r="110" spans="2:3" x14ac:dyDescent="0.25">
      <c r="B110" s="158" t="s">
        <v>473</v>
      </c>
    </row>
    <row r="112" spans="2:3" x14ac:dyDescent="0.25">
      <c r="B112" s="156" t="s">
        <v>478</v>
      </c>
    </row>
    <row r="113" spans="2:2" x14ac:dyDescent="0.25">
      <c r="B113" s="158" t="s">
        <v>474</v>
      </c>
    </row>
    <row r="114" spans="2:2" x14ac:dyDescent="0.25">
      <c r="B114" s="158" t="s">
        <v>475</v>
      </c>
    </row>
    <row r="115" spans="2:2" x14ac:dyDescent="0.25">
      <c r="B115" s="158" t="s">
        <v>476</v>
      </c>
    </row>
    <row r="116" spans="2:2" x14ac:dyDescent="0.25">
      <c r="B116" s="158" t="s">
        <v>535</v>
      </c>
    </row>
    <row r="117" spans="2:2" x14ac:dyDescent="0.25">
      <c r="B117" s="158" t="s">
        <v>477</v>
      </c>
    </row>
    <row r="119" spans="2:2" x14ac:dyDescent="0.25">
      <c r="B119" s="156" t="s">
        <v>627</v>
      </c>
    </row>
    <row r="120" spans="2:2" x14ac:dyDescent="0.25">
      <c r="B120" s="158" t="s">
        <v>645</v>
      </c>
    </row>
    <row r="121" spans="2:2" x14ac:dyDescent="0.25">
      <c r="B121" s="158" t="s">
        <v>628</v>
      </c>
    </row>
    <row r="122" spans="2:2" x14ac:dyDescent="0.25">
      <c r="B122" s="158" t="s">
        <v>629</v>
      </c>
    </row>
    <row r="123" spans="2:2" x14ac:dyDescent="0.25">
      <c r="B123" s="158" t="s">
        <v>630</v>
      </c>
    </row>
    <row r="124" spans="2:2" x14ac:dyDescent="0.25">
      <c r="B124" s="158" t="s">
        <v>631</v>
      </c>
    </row>
  </sheetData>
  <hyperlinks>
    <hyperlink ref="F1" location="Introduction!A1" display="Back to introduction"/>
  </hyperlinks>
  <pageMargins left="0.7" right="0.7" top="0.75" bottom="0.75" header="0.3" footer="0.3"/>
  <pageSetup paperSize="9" scale="56"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62F03D0397ECA47920EF30E938CBDD3" ma:contentTypeVersion="0" ma:contentTypeDescription="Create a new document." ma:contentTypeScope="" ma:versionID="8a4259acd5b7b4517236910507936942">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1E309269-A13E-4470-9AA9-D3CCABD720B0}">
  <ds:schemaRefs>
    <ds:schemaRef ds:uri="http://schemas.microsoft.com/sharepoint/v3/contenttype/forms"/>
  </ds:schemaRefs>
</ds:datastoreItem>
</file>

<file path=customXml/itemProps2.xml><?xml version="1.0" encoding="utf-8"?>
<ds:datastoreItem xmlns:ds="http://schemas.openxmlformats.org/officeDocument/2006/customXml" ds:itemID="{AE1DF4E1-4767-41D5-8AF4-DFD91E5AE678}">
  <ds:schemaRefs>
    <ds:schemaRef ds:uri="http://purl.org/dc/terms/"/>
    <ds:schemaRef ds:uri="http://schemas.microsoft.com/office/2006/metadata/properties"/>
    <ds:schemaRef ds:uri="http://www.w3.org/XML/1998/namespace"/>
    <ds:schemaRef ds:uri="http://schemas.microsoft.com/office/2006/documentManagement/types"/>
    <ds:schemaRef ds:uri="http://purl.org/dc/elements/1.1/"/>
    <ds:schemaRef ds:uri="http://purl.org/dc/dcmitype/"/>
    <ds:schemaRef ds:uri="http://schemas.openxmlformats.org/package/2006/metadata/core-properties"/>
    <ds:schemaRef ds:uri="http://schemas.microsoft.com/office/infopath/2007/PartnerControls"/>
  </ds:schemaRefs>
</ds:datastoreItem>
</file>

<file path=customXml/itemProps3.xml><?xml version="1.0" encoding="utf-8"?>
<ds:datastoreItem xmlns:ds="http://schemas.openxmlformats.org/officeDocument/2006/customXml" ds:itemID="{C1188AAE-7849-45FB-B9F6-CACF52476F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14</vt:i4>
      </vt:variant>
    </vt:vector>
  </HeadingPairs>
  <TitlesOfParts>
    <vt:vector size="32" baseType="lpstr">
      <vt:lpstr>Cover</vt:lpstr>
      <vt:lpstr>Introduction</vt:lpstr>
      <vt:lpstr>User Guide</vt:lpstr>
      <vt:lpstr>Approval Gateways</vt:lpstr>
      <vt:lpstr>1 - Contact Log</vt:lpstr>
      <vt:lpstr>2 - Supplier Information </vt:lpstr>
      <vt:lpstr>3 - End User Organisation </vt:lpstr>
      <vt:lpstr>4 - Topology</vt:lpstr>
      <vt:lpstr>5 - Architecture</vt:lpstr>
      <vt:lpstr>6 - IG and Security</vt:lpstr>
      <vt:lpstr>7 - Clinical Safety</vt:lpstr>
      <vt:lpstr>8 - Service </vt:lpstr>
      <vt:lpstr>9 - e-RS API Overarching reqs</vt:lpstr>
      <vt:lpstr>9.1 - NHS e-RS Session APIs </vt:lpstr>
      <vt:lpstr>9.2 - NHS e-RS Ref Data APIs</vt:lpstr>
      <vt:lpstr>9.3 - NHS e-RS CRI APIs</vt:lpstr>
      <vt:lpstr>NHS Digital Assessement</vt:lpstr>
      <vt:lpstr>Lists</vt:lpstr>
      <vt:lpstr>'9 - e-RS API Overarching reqs'!_ftnref1</vt:lpstr>
      <vt:lpstr>'9.1 - NHS e-RS Session APIs '!_ftnref1</vt:lpstr>
      <vt:lpstr>'9.2 - NHS e-RS Ref Data APIs'!_ftnref1</vt:lpstr>
      <vt:lpstr>'9.3 - NHS e-RS CRI APIs'!_ftnref1</vt:lpstr>
      <vt:lpstr>AccessMethod</vt:lpstr>
      <vt:lpstr>Approval</vt:lpstr>
      <vt:lpstr>EndUserOrgType</vt:lpstr>
      <vt:lpstr>IGSoCResult</vt:lpstr>
      <vt:lpstr>IGTResult</vt:lpstr>
      <vt:lpstr>Jurisdiction</vt:lpstr>
      <vt:lpstr>NHSorNot</vt:lpstr>
      <vt:lpstr>RAG</vt:lpstr>
      <vt:lpstr>'3 - End User Organisation '!Select</vt:lpstr>
      <vt:lpstr>UsageOutcome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Dobson Richard</dc:creator>
  <cp:lastModifiedBy>Mohammed Sami</cp:lastModifiedBy>
  <cp:lastPrinted>2017-06-06T08:17:03Z</cp:lastPrinted>
  <dcterms:created xsi:type="dcterms:W3CDTF">1996-10-14T23:33:28Z</dcterms:created>
  <dcterms:modified xsi:type="dcterms:W3CDTF">2018-03-17T11:21:00Z</dcterms:modified>
</cp:coreProperties>
</file>